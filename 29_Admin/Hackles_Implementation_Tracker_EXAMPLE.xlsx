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up" sheetId="2" state="visible" r:id="rId2"/>
    <sheet xmlns:r="http://schemas.openxmlformats.org/officeDocument/2006/relationships" name="Classes" sheetId="3" state="visible" r:id="rId3"/>
    <sheet xmlns:r="http://schemas.openxmlformats.org/officeDocument/2006/relationships" name="Lessons" sheetId="4" state="visible" r:id="rId4"/>
    <sheet xmlns:r="http://schemas.openxmlformats.org/officeDocument/2006/relationships" name="HelpLadder" sheetId="5" state="visible" r:id="rId5"/>
    <sheet xmlns:r="http://schemas.openxmlformats.org/officeDocument/2006/relationships" name="Surveys" sheetId="6" state="visible" r:id="rId6"/>
    <sheet xmlns:r="http://schemas.openxmlformats.org/officeDocument/2006/relationships" name="Sensitive" sheetId="7" state="visible" r:id="rId7"/>
    <sheet xmlns:r="http://schemas.openxmlformats.org/officeDocument/2006/relationships" name="Family" sheetId="8" state="visible" r:id="rId8"/>
    <sheet xmlns:r="http://schemas.openxmlformats.org/officeDocument/2006/relationships" name="Summary" sheetId="9" state="visible" r:id="rId9"/>
    <sheet xmlns:r="http://schemas.openxmlformats.org/officeDocument/2006/relationships" name="Dashboard" sheetId="10" state="visible" r:id="rId10"/>
    <sheet xmlns:r="http://schemas.openxmlformats.org/officeDocument/2006/relationships" name="Checks" sheetId="11" state="visible" r:id="rId11"/>
    <sheet xmlns:r="http://schemas.openxmlformats.org/officeDocument/2006/relationships" name="ChartData" sheetId="12" state="visible" r:id="rId12"/>
    <sheet xmlns:r="http://schemas.openxmlformats.org/officeDocument/2006/relationships" name="Lists" sheetId="13" state="visible" r:id="rId13"/>
  </sheets>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yyyy-mm-dd"/>
    <numFmt numFmtId="167" formatCode="+0.0;-0.0;0.0"/>
  </numFmts>
  <fonts count="15">
    <font>
      <name val="Calibri"/>
      <family val="2"/>
      <color theme="1"/>
      <sz val="11"/>
      <scheme val="minor"/>
    </font>
    <font>
      <name val="Calibri"/>
      <b val="1"/>
      <color rgb="002B2D42"/>
      <sz val="18"/>
    </font>
    <font>
      <name val="Calibri"/>
      <i val="1"/>
      <color rgb="005A5C70"/>
      <sz val="9"/>
    </font>
    <font>
      <name val="Calibri"/>
      <color rgb="002B2D42"/>
      <sz val="10"/>
    </font>
    <font>
      <name val="Calibri"/>
      <b val="1"/>
      <color rgb="002B2D42"/>
      <sz val="12"/>
    </font>
    <font>
      <name val="Calibri"/>
      <b val="1"/>
      <color rgb="002B2D42"/>
      <sz val="16"/>
    </font>
    <font>
      <name val="Calibri"/>
      <i val="1"/>
      <color rgb="005A5C70"/>
      <sz val="8"/>
    </font>
    <font>
      <name val="Calibri"/>
      <sz val="10"/>
    </font>
    <font>
      <name val="Calibri"/>
      <b val="1"/>
      <color rgb="00FFFFFF"/>
      <sz val="10"/>
    </font>
    <font>
      <name val="Calibri"/>
      <b val="1"/>
    </font>
    <font>
      <name val="Calibri"/>
      <b val="1"/>
      <sz val="12"/>
    </font>
    <font>
      <name val="Calibri"/>
      <b val="1"/>
      <color rgb="002B2D42"/>
    </font>
    <font>
      <name val="Calibri"/>
      <i val="1"/>
      <sz val="10"/>
    </font>
    <font>
      <name val="Calibri"/>
      <b val="1"/>
      <color rgb="00FFFFFF"/>
      <sz val="9"/>
    </font>
    <font>
      <name val="Calibri"/>
      <b val="1"/>
      <color rgb="002B2D42"/>
      <sz val="20"/>
    </font>
  </fonts>
  <fills count="6">
    <fill>
      <patternFill/>
    </fill>
    <fill>
      <patternFill patternType="gray125"/>
    </fill>
    <fill>
      <patternFill patternType="solid">
        <fgColor rgb="00FFF4C2"/>
      </patternFill>
    </fill>
    <fill>
      <patternFill patternType="solid">
        <fgColor rgb="002B2D42"/>
      </patternFill>
    </fill>
    <fill>
      <patternFill patternType="solid">
        <fgColor rgb="00F2EEE4"/>
      </patternFill>
    </fill>
    <fill>
      <patternFill patternType="solid">
        <fgColor rgb="00FBE7A6"/>
      </patternFill>
    </fill>
  </fills>
  <borders count="2">
    <border>
      <left/>
      <right/>
      <top/>
      <bottom/>
      <diagonal/>
    </border>
    <border>
      <left style="thin">
        <color rgb="008C8672"/>
      </left>
      <right style="thin">
        <color rgb="008C8672"/>
      </right>
      <top style="thin">
        <color rgb="008C8672"/>
      </top>
      <bottom style="thin">
        <color rgb="008C8672"/>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0" borderId="1" applyAlignment="1" pivotButton="0" quotePrefix="0" xfId="0">
      <alignment wrapText="1"/>
    </xf>
    <xf numFmtId="0" fontId="0" fillId="2" borderId="1" applyProtection="1" pivotButton="0" quotePrefix="0" xfId="0">
      <protection locked="0" hidden="0"/>
    </xf>
    <xf numFmtId="0" fontId="2" fillId="0" borderId="0" applyAlignment="1" pivotButton="0" quotePrefix="0" xfId="0">
      <alignment wrapText="1"/>
    </xf>
    <xf numFmtId="9" fontId="0" fillId="2" borderId="1" applyProtection="1" pivotButton="0" quotePrefix="0" xfId="0">
      <protection locked="0" hidden="0"/>
    </xf>
    <xf numFmtId="0" fontId="8" fillId="3" borderId="1" applyAlignment="1" pivotButton="0" quotePrefix="0" xfId="0">
      <alignment horizontal="center" vertical="center" wrapText="1"/>
    </xf>
    <xf numFmtId="0" fontId="0" fillId="4" borderId="1" pivotButton="0" quotePrefix="0" xfId="0"/>
    <xf numFmtId="0" fontId="0" fillId="2" borderId="1" applyAlignment="1" applyProtection="1" pivotButton="0" quotePrefix="0" xfId="0">
      <alignment horizontal="center"/>
      <protection locked="0" hidden="0"/>
    </xf>
    <xf numFmtId="1" fontId="0" fillId="4" borderId="1" pivotButton="0" quotePrefix="0" xfId="0"/>
    <xf numFmtId="9" fontId="0" fillId="4" borderId="1" pivotButton="0" quotePrefix="0" xfId="0"/>
    <xf numFmtId="164" fontId="0" fillId="4" borderId="1" pivotButton="0" quotePrefix="0" xfId="0"/>
    <xf numFmtId="165" fontId="0" fillId="4" borderId="1" pivotButton="0" quotePrefix="0" xfId="0"/>
    <xf numFmtId="166" fontId="0" fillId="2" borderId="1" applyProtection="1" pivotButton="0" quotePrefix="0" xfId="0">
      <protection locked="0" hidden="0"/>
    </xf>
    <xf numFmtId="0" fontId="11" fillId="5" borderId="0" pivotButton="0" quotePrefix="0" xfId="0"/>
    <xf numFmtId="0" fontId="0" fillId="5" borderId="0" pivotButton="0" quotePrefix="0" xfId="0"/>
    <xf numFmtId="1" fontId="0" fillId="4" borderId="1" applyAlignment="1" pivotButton="0" quotePrefix="0" xfId="0">
      <alignment horizontal="right"/>
    </xf>
    <xf numFmtId="165" fontId="0" fillId="4" borderId="1" applyAlignment="1" pivotButton="0" quotePrefix="0" xfId="0">
      <alignment horizontal="right"/>
    </xf>
    <xf numFmtId="9" fontId="0" fillId="4" borderId="1" applyAlignment="1" pivotButton="0" quotePrefix="0" xfId="0">
      <alignment horizontal="right"/>
    </xf>
    <xf numFmtId="167" fontId="0" fillId="4" borderId="1" applyAlignment="1" pivotButton="0" quotePrefix="0" xfId="0">
      <alignment horizontal="right"/>
    </xf>
    <xf numFmtId="0" fontId="12" fillId="0" borderId="0" applyAlignment="1" pivotButton="0" quotePrefix="0" xfId="0">
      <alignment vertical="top" wrapText="1"/>
    </xf>
    <xf numFmtId="0" fontId="13" fillId="3" borderId="0" applyAlignment="1" pivotButton="0" quotePrefix="0" xfId="0">
      <alignment horizontal="center" wrapText="1"/>
    </xf>
    <xf numFmtId="0" fontId="0" fillId="3" borderId="0" pivotButton="0" quotePrefix="0" xfId="0"/>
    <xf numFmtId="1" fontId="14" fillId="5" borderId="0" applyAlignment="1" pivotButton="0" quotePrefix="0" xfId="0">
      <alignment horizontal="center"/>
    </xf>
    <xf numFmtId="9" fontId="14" fillId="5" borderId="0" applyAlignment="1" pivotButton="0" quotePrefix="0" xfId="0">
      <alignment horizontal="center"/>
    </xf>
    <xf numFmtId="0" fontId="9" fillId="0" borderId="0" pivotButton="0" quotePrefix="0" xfId="0"/>
    <xf numFmtId="1" fontId="10" fillId="4" borderId="1" pivotButton="0" quotePrefix="0" xfId="0"/>
    <xf numFmtId="0" fontId="7" fillId="0" borderId="0" applyAlignment="1" pivotButton="0" quotePrefix="0" xfId="0">
      <alignment vertical="top" wrapText="1"/>
    </xf>
  </cellXfs>
  <cellStyles count="1">
    <cellStyle name="Normal" xfId="0" builtinId="0" hidden="0"/>
  </cellStyles>
  <dxfs count="8">
    <dxf>
      <font>
        <b val="1"/>
        <color rgb="007A1F00"/>
      </font>
      <fill>
        <patternFill patternType="solid">
          <fgColor rgb="00F4B6A6"/>
          <bgColor rgb="00F4B6A6"/>
        </patternFill>
      </fill>
    </dxf>
    <dxf>
      <fill>
        <patternFill patternType="solid">
          <fgColor rgb="00BFE3C0"/>
          <bgColor rgb="00BFE3C0"/>
        </patternFill>
      </fill>
    </dxf>
    <dxf>
      <fill>
        <patternFill patternType="solid">
          <fgColor rgb="00FBE7A6"/>
          <bgColor rgb="00FBE7A6"/>
        </patternFill>
      </fill>
    </dxf>
    <dxf>
      <fill>
        <patternFill patternType="solid">
          <fgColor rgb="00D9D9D9"/>
          <bgColor rgb="00D9D9D9"/>
        </patternFill>
      </fill>
    </dxf>
    <dxf>
      <fill>
        <patternFill patternType="solid">
          <fgColor rgb="00F9C9A5"/>
          <bgColor rgb="00F9C9A5"/>
        </patternFill>
      </fill>
    </dxf>
    <dxf>
      <fill>
        <patternFill patternType="solid">
          <fgColor rgb="00BDBDBD"/>
          <bgColor rgb="00BDBDBD"/>
        </patternFill>
      </fill>
    </dxf>
    <dxf>
      <fill>
        <patternFill patternType="solid">
          <fgColor rgb="00F4B6A6"/>
          <bgColor rgb="00F4B6A6"/>
        </patternFill>
      </fill>
    </dxf>
    <dxf>
      <font>
        <i val="1"/>
        <color rgb="005A5C7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Core lesson completion by grade band</a:t>
            </a:r>
          </a:p>
        </rich>
      </tx>
    </title>
    <plotArea>
      <barChart>
        <barDir val="col"/>
        <grouping val="clustered"/>
        <ser>
          <idx val="0"/>
          <order val="0"/>
          <tx>
            <strRef>
              <f>'ChartData'!B5</f>
            </strRef>
          </tx>
          <spPr>
            <a:solidFill xmlns:a="http://schemas.openxmlformats.org/drawingml/2006/main">
              <a:srgbClr val="FF8A3D"/>
            </a:solidFill>
            <a:ln xmlns:a="http://schemas.openxmlformats.org/drawingml/2006/main">
              <a:solidFill>
                <a:srgbClr val="2B2D42"/>
              </a:solidFill>
              <a:prstDash val="solid"/>
            </a:ln>
          </spPr>
          <cat>
            <numRef>
              <f>'ChartData'!$A$6:$A$9</f>
            </numRef>
          </cat>
          <val>
            <numRef>
              <f>'ChartData'!$B$6:$B$9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Share of 10 core lessons delivered</a:t>
                </a:r>
              </a:p>
            </rich>
          </tx>
        </title>
        <numFmt formatCode="0%" sourceLinked="0"/>
        <majorTickMark val="none"/>
        <minorTickMark val="none"/>
        <crossAx val="10"/>
        <majorUnit val="0.25"/>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Tell-Readiness before and after (core items, class totals)</a:t>
            </a:r>
          </a:p>
        </rich>
      </tx>
    </title>
    <plotArea>
      <barChart>
        <barDir val="col"/>
        <grouping val="clustered"/>
        <ser>
          <idx val="0"/>
          <order val="0"/>
          <tx>
            <strRef>
              <f>'ChartData'!C5</f>
            </strRef>
          </tx>
          <spPr>
            <a:solidFill xmlns:a="http://schemas.openxmlformats.org/drawingml/2006/main">
              <a:srgbClr val="B9B2A2"/>
            </a:solidFill>
            <a:ln xmlns:a="http://schemas.openxmlformats.org/drawingml/2006/main">
              <a:solidFill>
                <a:srgbClr val="2B2D42"/>
              </a:solidFill>
              <a:prstDash val="solid"/>
            </a:ln>
          </spPr>
          <cat>
            <numRef>
              <f>'ChartData'!$A$6:$A$9</f>
            </numRef>
          </cat>
          <val>
            <numRef>
              <f>'ChartData'!$C$6:$C$9</f>
            </numRef>
          </val>
        </ser>
        <ser>
          <idx val="1"/>
          <order val="1"/>
          <tx>
            <strRef>
              <f>'ChartData'!D5</f>
            </strRef>
          </tx>
          <spPr>
            <a:solidFill xmlns:a="http://schemas.openxmlformats.org/drawingml/2006/main">
              <a:srgbClr val="2B2D42"/>
            </a:solidFill>
            <a:ln xmlns:a="http://schemas.openxmlformats.org/drawingml/2006/main">
              <a:solidFill>
                <a:srgbClr val="2B2D42"/>
              </a:solidFill>
              <a:prstDash val="solid"/>
            </a:ln>
          </spPr>
          <cat>
            <numRef>
              <f>'ChartData'!$A$6:$A$9</f>
            </numRef>
          </cat>
          <val>
            <numRef>
              <f>'ChartData'!$D$6:$D$9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Share of best answers</a:t>
                </a:r>
              </a:p>
            </rich>
          </tx>
        </title>
        <numFmt formatCode="0%" sourceLinked="0"/>
        <majorTickMark val="none"/>
        <minorTickMark val="none"/>
        <crossAx val="10"/>
        <majorUnit val="0.25"/>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Opt-out requests by sensitive lesson</a:t>
            </a:r>
          </a:p>
        </rich>
      </tx>
    </title>
    <plotArea>
      <barChart>
        <barDir val="bar"/>
        <grouping val="clustered"/>
        <ser>
          <idx val="0"/>
          <order val="0"/>
          <tx>
            <strRef>
              <f>'ChartData'!B12</f>
            </strRef>
          </tx>
          <spPr>
            <a:solidFill xmlns:a="http://schemas.openxmlformats.org/drawingml/2006/main">
              <a:srgbClr val="FFC93C"/>
            </a:solidFill>
            <a:ln xmlns:a="http://schemas.openxmlformats.org/drawingml/2006/main">
              <a:solidFill>
                <a:srgbClr val="2B2D42"/>
              </a:solidFill>
              <a:prstDash val="solid"/>
            </a:ln>
          </spPr>
          <cat>
            <numRef>
              <f>'ChartData'!$A$13:$A$27</f>
            </numRef>
          </cat>
          <val>
            <numRef>
              <f>'ChartData'!$B$13:$B$27</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Sensitive lesson</a:t>
                </a:r>
              </a:p>
            </rich>
          </tx>
        </title>
        <majorTickMark val="none"/>
        <minorTickMark val="none"/>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Opt-out requests (count)</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Family reply rate by grade band</a:t>
            </a:r>
          </a:p>
        </rich>
      </tx>
    </title>
    <plotArea>
      <barChart>
        <barDir val="col"/>
        <grouping val="clustered"/>
        <ser>
          <idx val="0"/>
          <order val="0"/>
          <tx>
            <strRef>
              <f>'ChartData'!E5</f>
            </strRef>
          </tx>
          <spPr>
            <a:solidFill xmlns:a="http://schemas.openxmlformats.org/drawingml/2006/main">
              <a:srgbClr val="6A4C9C"/>
            </a:solidFill>
            <a:ln xmlns:a="http://schemas.openxmlformats.org/drawingml/2006/main">
              <a:solidFill>
                <a:srgbClr val="2B2D42"/>
              </a:solidFill>
              <a:prstDash val="solid"/>
            </a:ln>
          </spPr>
          <cat>
            <numRef>
              <f>'ChartData'!$A$6:$A$9</f>
            </numRef>
          </cat>
          <val>
            <numRef>
              <f>'ChartData'!$E$6:$E$9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Reply slips per family notified</a:t>
                </a:r>
              </a:p>
            </rich>
          </tx>
        </title>
        <numFmt formatCode="0%" sourceLinked="0"/>
        <majorTickMark val="none"/>
        <minorTickMark val="none"/>
        <crossAx val="10"/>
        <majorUnit val="0.25"/>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Students who practiced their first sentence aloud</a:t>
            </a:r>
          </a:p>
        </rich>
      </tx>
    </title>
    <plotArea>
      <barChart>
        <barDir val="col"/>
        <grouping val="clustered"/>
        <ser>
          <idx val="0"/>
          <order val="0"/>
          <tx>
            <strRef>
              <f>'ChartData'!F5</f>
            </strRef>
          </tx>
          <spPr>
            <a:solidFill xmlns:a="http://schemas.openxmlformats.org/drawingml/2006/main">
              <a:srgbClr val="2F6F73"/>
            </a:solidFill>
            <a:ln xmlns:a="http://schemas.openxmlformats.org/drawingml/2006/main">
              <a:solidFill>
                <a:srgbClr val="2B2D42"/>
              </a:solidFill>
              <a:prstDash val="solid"/>
            </a:ln>
          </spPr>
          <cat>
            <numRef>
              <f>'ChartData'!$A$6:$A$9</f>
            </numRef>
          </cat>
          <val>
            <numRef>
              <f>'ChartData'!$F$6:$F$9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Share of students enrolled</a:t>
                </a:r>
              </a:p>
            </rich>
          </tx>
        </title>
        <numFmt formatCode="0%" sourceLinked="0"/>
        <majorTickMark val="none"/>
        <minorTickMark val="none"/>
        <crossAx val="10"/>
        <majorUnit val="0.25"/>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8</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8</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24</row>
      <rowOff>0</rowOff>
    </from>
    <ext cx="54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24</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40</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C93C"/>
    <outlinePr summaryBelow="1" summaryRight="1"/>
    <pageSetUpPr/>
  </sheetPr>
  <dimension ref="A1:A27"/>
  <sheetViews>
    <sheetView showGridLines="0" workbookViewId="0">
      <selection activeCell="A1" sqref="A1"/>
    </sheetView>
  </sheetViews>
  <sheetFormatPr baseColWidth="8" defaultRowHeight="15"/>
  <cols>
    <col width="125" customWidth="1" min="1" max="1"/>
  </cols>
  <sheetData>
    <row r="1">
      <c r="A1" s="1" t="inlineStr">
        <is>
          <t>Hackles Implementation Tracker   [EXAMPLE DATA: made up]</t>
        </is>
      </c>
    </row>
    <row r="2" ht="45" customHeight="1">
      <c r="A2" s="2"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30" customHeight="1">
      <c r="A3" s="2" t="inlineStr">
        <is>
          <t>Draft tool, 2026-10-05. Not legal advice. Hackles has not been reviewed, approved or endorsed by any state agency. Counts only: never type a student name, ID, initials or any detail that could identify a child.</t>
        </is>
      </c>
    </row>
    <row r="4" ht="15" customHeight="1">
      <c r="A4" s="3" t="inlineStr"/>
    </row>
    <row r="5" ht="22" customHeight="1">
      <c r="A5" s="4" t="inlineStr">
        <is>
          <t>What this workbook does</t>
        </is>
      </c>
    </row>
    <row r="6" ht="60" customHeight="1">
      <c r="A6" s="3" t="inlineStr">
        <is>
          <t>It tracks, for each class or group, which lessons were delivered, how many Help Ladder practice sessions ran, optional pre and post survey tallies, sensitive-lesson notices and opt-out counts, and family reply counts. The Summary and Dashboard roll these up by grade band. It never asks for, and has no space for, a student name, ID, initials, date of birth or any other identifier.</t>
        </is>
      </c>
    </row>
    <row r="7" ht="22" customHeight="1">
      <c r="A7" s="4" t="inlineStr">
        <is>
          <t>How to use it (about 5 minutes per class per month)</t>
        </is>
      </c>
    </row>
    <row r="8" ht="30" customHeight="1">
      <c r="A8" s="3" t="inlineStr">
        <is>
          <t>1. Setup: type your school name and year (optional). Leave the other settings unless your policy says otherwise.</t>
        </is>
      </c>
    </row>
    <row r="9" ht="30" customHeight="1">
      <c r="A9" s="3" t="inlineStr">
        <is>
          <t>2. Classes: one row per class or group. Use a room or period label such as Rm 12 or Per 4, never a person's name. Choose the band and type the number of students enrolled.</t>
        </is>
      </c>
    </row>
    <row r="10" ht="30" customHeight="1">
      <c r="A10" s="3" t="inlineStr">
        <is>
          <t>3. Lessons: for each class, choose Yes, Partial or Not yet for each lesson. Orange-tinted blank cells mark the lessons that are sensitive for that band: they need a counselor heads-up and a family notice first.</t>
        </is>
      </c>
    </row>
    <row r="11" ht="30" customHeight="1">
      <c r="A11" s="3" t="inlineStr">
        <is>
          <t>4. HelpLadder: type how many Help Ladder practice sessions each class ran, and how many students practiced saying their first sentence aloud (a count).</t>
        </is>
      </c>
    </row>
    <row r="12" ht="45" customHeight="1">
      <c r="A12" s="3" t="inlineStr">
        <is>
          <t>5. Surveys (optional): only if your counsel approves the Assessment Pack surveys. Type class totals from the Class Tally Sheet: how many students answered, and how many gave the best answer on each of the three core items (listed on the Surveys sheet), before and after.</t>
        </is>
      </c>
    </row>
    <row r="13" ht="30" customHeight="1">
      <c r="A13" s="3" t="inlineStr">
        <is>
          <t>6. Sensitive: add one row each time a sensitive lesson is taught. Pick the class and the lesson from the lists. Add the lesson date and the date the family notice went home. Type counts only.</t>
        </is>
      </c>
    </row>
    <row r="14" ht="15" customHeight="1">
      <c r="A14" s="3" t="inlineStr">
        <is>
          <t>7. Family: counts of families notified, reply slips returned, family-event attendees and previews held.</t>
        </is>
      </c>
    </row>
    <row r="15" ht="15" customHeight="1">
      <c r="A15" s="3" t="inlineStr">
        <is>
          <t>8. Read the Summary and Dashboard. Fix anything the Checks sheet flags in red.</t>
        </is>
      </c>
    </row>
    <row r="16" ht="22" customHeight="1">
      <c r="A16" s="4" t="inlineStr">
        <is>
          <t>Colors and protection</t>
        </is>
      </c>
    </row>
    <row r="17" ht="30" customHeight="1">
      <c r="A17" s="3" t="inlineStr">
        <is>
          <t>Pale yellow cells are for you to fill in. Everything else is locked so formulas are not broken by accident. The sheets are protected without a password: use Review, Unprotect Sheet if you want to adapt the workbook.</t>
        </is>
      </c>
    </row>
    <row r="18" ht="22" customHeight="1">
      <c r="A18" s="4" t="inlineStr">
        <is>
          <t>What the numbers mean (and do not)</t>
        </is>
      </c>
    </row>
    <row r="19" ht="75" customHeight="1">
      <c r="A19" s="3" t="inlineStr">
        <is>
          <t>Tell-Readiness is the share of answers that were the best answer on the three core items for the grade band, as described in the Assessment Pack. Change is in percentage points. These are self-reported answers from short surveys with no comparison group. They show how answers changed. They do not show that Hackles caused the change, and they do not show changes in real-world behavior or safety. More disclosures after a lesson are expected and are not a sign of failure. Keep the Limits paragraph on the Summary sheet whenever you share results.</t>
        </is>
      </c>
    </row>
    <row r="20" ht="22" customHeight="1">
      <c r="A20" s="4" t="inlineStr">
        <is>
          <t>Small numbers</t>
        </is>
      </c>
    </row>
    <row r="21" ht="45" customHeight="1">
      <c r="A21" s="3" t="inlineStr">
        <is>
          <t>When fewer students than the suppression threshold on the Setup sheet (default 10) answered a survey, the Summary shows 'n&lt;10' instead of a percentage so that a small group cannot be identified. Check your district's rule for reporting small groups. [VERIFY]</t>
        </is>
      </c>
    </row>
    <row r="22" ht="22" customHeight="1">
      <c r="A22" s="4" t="inlineStr">
        <is>
          <t>Privacy rules for this file</t>
        </is>
      </c>
    </row>
    <row r="23" ht="75" customHeight="1">
      <c r="A23" s="3" t="inlineStr">
        <is>
          <t>Counts only. No names, IDs, initials, birthdays, photos or notes about any child. Counts of disclosures and referrals are included because the Assessment Pack's administrator summary asks for them; include them only if your policy permits, and think about whether a count of 1 in a small class could point to a child. Store this file where your policy says. Saving it to a cloud drive is governed by your own agreements, not by Hackles. Sensitive counts about safety belong in your confidential reporting, not just here.</t>
        </is>
      </c>
    </row>
    <row r="24" ht="22" customHeight="1">
      <c r="A24" s="4" t="inlineStr">
        <is>
          <t>Limits of this tool</t>
        </is>
      </c>
    </row>
    <row r="25" ht="75" customHeight="1">
      <c r="A25" s="3" t="inlineStr">
        <is>
          <t>The workbook was generated with a script and its formulas were tested by recomputing example values in Python and by loading the file in Python. It has not been opened in Excel, LibreOffice or Google Sheets by the author, so its appearance, charts, protection and drop-downs are unverified in a spreadsheet program. Open it, try the example copy, and report anything that looks wrong. The charts need Excel 2016 or later or a current spreadsheet app. Data validation lists that point to another sheet need Excel 2010 or later.</t>
        </is>
      </c>
    </row>
    <row r="26" ht="22" customHeight="1">
      <c r="A26" s="4" t="inlineStr">
        <is>
          <t>Sheet guide</t>
        </is>
      </c>
    </row>
    <row r="27" ht="60" customHeight="1">
      <c r="A27" s="3" t="inlineStr">
        <is>
          <t>Setup, Classes, Lessons, HelpLadder, Surveys, Sensitive, Family: entry sheets. Summary: school summary by band, laid out like the Assessment Pack's administrator impact summary. Dashboard: key numbers and charts. Checks: data-quality flags. ChartData: values behind the charts (#N/A is deliberate: it makes a chart skip a suppressed value). Lists: drop-down lists and lesson titles.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tabColor rgb="00FF8A3D"/>
    <outlinePr summaryBelow="1" summaryRight="1"/>
    <pageSetUpPr fitToPage="1"/>
  </sheetPr>
  <dimension ref="A1:D8"/>
  <sheetViews>
    <sheetView showGridLines="0" workbookViewId="0">
      <selection activeCell="A1" sqref="A1"/>
    </sheetView>
  </sheetViews>
  <sheetFormatPr baseColWidth="8" defaultRowHeight="15"/>
  <cols>
    <col width="62" customWidth="1" min="1" max="1"/>
    <col width="24" customWidth="1" min="2" max="2"/>
    <col width="70" customWidth="1" min="3" max="3"/>
    <col width="4" customWidth="1" min="4" max="4"/>
  </cols>
  <sheetData>
    <row r="1">
      <c r="A1" s="5" t="inlineStr">
        <is>
          <t>Setup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Optional: name and year. Change the thresholds only if your policy says to. Do not type any person's name.</t>
        </is>
      </c>
    </row>
    <row r="4">
      <c r="A4" s="7" t="inlineStr">
        <is>
          <t>School or program name (optional)</t>
        </is>
      </c>
      <c r="B4" s="8" t="inlineStr">
        <is>
          <t>Example School</t>
        </is>
      </c>
    </row>
    <row r="5">
      <c r="A5" s="7" t="inlineStr">
        <is>
          <t>School year</t>
        </is>
      </c>
      <c r="B5" s="8" t="inlineStr">
        <is>
          <t>2026-27</t>
        </is>
      </c>
    </row>
    <row r="6">
      <c r="A6" s="7" t="inlineStr">
        <is>
          <t>Smallest group to report as a percentage (suppression threshold)</t>
        </is>
      </c>
      <c r="B6" s="8" t="n">
        <v>10</v>
      </c>
      <c r="C6" s="9" t="inlineStr">
        <is>
          <t>Surveys: below this many students, show n&lt;10 instead of a percentage. [VERIFY your district's rule]</t>
        </is>
      </c>
    </row>
    <row r="7">
      <c r="A7" s="7" t="inlineStr">
        <is>
          <t>Opt-out rate to review (flag when at or above)</t>
        </is>
      </c>
      <c r="B7" s="10" t="n">
        <v>0.1</v>
      </c>
      <c r="C7" s="9" t="inlineStr">
        <is>
          <t>Only a flag for you to look at, not a target.</t>
        </is>
      </c>
    </row>
    <row r="8">
      <c r="A8" s="7" t="inlineStr">
        <is>
          <t>Minimum days of family notice before a sensitive lesson</t>
        </is>
      </c>
      <c r="B8" s="8" t="n">
        <v>14</v>
      </c>
      <c r="C8" s="9" t="inlineStr">
        <is>
          <t>14 days is the kit's suggestion. [COUNSEL TO CONFIRM your state and district rule]</t>
        </is>
      </c>
    </row>
  </sheetData>
  <sheetProtection selectLockedCells="0" selectUnlockedCells="0" sheet="1" objects="0" insertRows="1" insertHyperlinks="1" autoFilter="0" scenarios="0" formatColumns="0" deleteColumns="1" insertColumns="1" pivotTables="1" deleteRows="1" formatCells="1" formatRows="0" sort="0"/>
  <mergeCells count="2">
    <mergeCell ref="A3:D3"/>
    <mergeCell ref="A2:D2"/>
  </mergeCells>
  <dataValidations count="3">
    <dataValidation sqref="B6" showDropDown="0" showInputMessage="1" showErrorMessage="1" allowBlank="1" errorTitle="Check this entry" error="Type a whole number from 1 to 100." promptTitle="Threshold" prompt="Whole number from 1 to 100." type="whole" errorStyle="stop" operator="between">
      <formula1>1</formula1>
      <formula2>100</formula2>
    </dataValidation>
    <dataValidation sqref="B7" showDropDown="0" showInputMessage="1" showErrorMessage="1" allowBlank="1" errorTitle="Check this entry" error="Type a value from 0% to 100%." promptTitle="Opt-out rate" prompt="A percentage such as 10%." type="decimal" errorStyle="stop" operator="between">
      <formula1>0</formula1>
      <formula2>1</formula2>
    </dataValidation>
    <dataValidation sqref="B8" showDropDown="0" showInputMessage="1" showErrorMessage="1" allowBlank="1" errorTitle="Check this entry" error="Type a whole number from 0 to 90." promptTitle="Notice days" prompt="Whole number of days." type="whole" errorStyle="stop" operator="between">
      <formula1>0</formula1>
      <formula2>90</formula2>
    </dataValidation>
  </dataValidations>
  <pageMargins left="0.75" right="0.75" top="1" bottom="1" header="0.5" footer="0.5"/>
  <pageSetup orientation="portrait" fitToHeight="0" fitToWidth="1"/>
  <headerFooter>
    <oddHeader/>
    <oddFooter>&amp;CHackles Implementation Tracker. Counts only, no names or IDs. &amp;P of &amp;N</oddFooter>
    <evenHeader/>
    <evenFooter/>
    <firstHeader/>
    <firstFooter/>
  </headerFooter>
</worksheet>
</file>

<file path=xl/worksheets/sheet3.xml><?xml version="1.0" encoding="utf-8"?>
<worksheet xmlns="http://schemas.openxmlformats.org/spreadsheetml/2006/main">
  <sheetPr>
    <tabColor rgb="00FF8A3D"/>
    <outlinePr summaryBelow="1" summaryRight="1"/>
    <pageSetUpPr fitToPage="1"/>
  </sheetPr>
  <dimension ref="A1:F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2" customWidth="1" min="3" max="3"/>
    <col width="16" customWidth="1" min="4" max="4"/>
    <col width="18" customWidth="1" min="5" max="5"/>
    <col width="14" customWidth="1" min="6" max="6"/>
  </cols>
  <sheetData>
    <row r="1">
      <c r="A1" s="5" t="inlineStr">
        <is>
          <t>Classes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One row per class or group. Use a room or period label (for example Rm 12 or Per 4). Never a student's or teacher's name. Choose the band and type the number enrolled.</t>
        </is>
      </c>
    </row>
    <row r="5" ht="48" customHeight="1">
      <c r="A5" s="11" t="inlineStr">
        <is>
          <t>#</t>
        </is>
      </c>
      <c r="B5" s="11" t="inlineStr">
        <is>
          <t>Class or group label (no names)</t>
        </is>
      </c>
      <c r="C5" s="11" t="inlineStr">
        <is>
          <t>Grade band</t>
        </is>
      </c>
      <c r="D5" s="11" t="inlineStr">
        <is>
          <t>Students enrolled (count)</t>
        </is>
      </c>
      <c r="E5" s="11" t="inlineStr">
        <is>
          <t>Core lessons delivered (of 10)</t>
        </is>
      </c>
      <c r="F5" s="11" t="inlineStr">
        <is>
          <t>Data check</t>
        </is>
      </c>
    </row>
    <row r="6">
      <c r="A6" s="12" t="n">
        <v>1</v>
      </c>
      <c r="B6" s="8" t="inlineStr">
        <is>
          <t>Rm 101</t>
        </is>
      </c>
      <c r="C6" s="8" t="inlineStr">
        <is>
          <t>Gr K-2</t>
        </is>
      </c>
      <c r="D6" s="8" t="n">
        <v>22</v>
      </c>
      <c r="E6" s="12">
        <f>IF(B6="","",Lessons!Q6)</f>
        <v/>
      </c>
      <c r="F6" s="12">
        <f>IF(B6="","",IF(Checks!K6&gt;0,"Review","OK"))</f>
        <v/>
      </c>
    </row>
    <row r="7">
      <c r="A7" s="12" t="n">
        <v>2</v>
      </c>
      <c r="B7" s="8" t="inlineStr">
        <is>
          <t>Rm 104</t>
        </is>
      </c>
      <c r="C7" s="8" t="inlineStr">
        <is>
          <t>Gr K-2</t>
        </is>
      </c>
      <c r="D7" s="8" t="n">
        <v>20</v>
      </c>
      <c r="E7" s="12">
        <f>IF(B7="","",Lessons!Q7)</f>
        <v/>
      </c>
      <c r="F7" s="12">
        <f>IF(B7="","",IF(Checks!K7&gt;0,"Review","OK"))</f>
        <v/>
      </c>
    </row>
    <row r="8">
      <c r="A8" s="12" t="n">
        <v>3</v>
      </c>
      <c r="B8" s="8" t="inlineStr">
        <is>
          <t>Rm 301</t>
        </is>
      </c>
      <c r="C8" s="8" t="inlineStr">
        <is>
          <t>Gr 3-5</t>
        </is>
      </c>
      <c r="D8" s="8" t="n">
        <v>24</v>
      </c>
      <c r="E8" s="12">
        <f>IF(B8="","",Lessons!Q8)</f>
        <v/>
      </c>
      <c r="F8" s="12">
        <f>IF(B8="","",IF(Checks!K8&gt;0,"Review","OK"))</f>
        <v/>
      </c>
    </row>
    <row r="9">
      <c r="A9" s="12" t="n">
        <v>4</v>
      </c>
      <c r="B9" s="8" t="inlineStr">
        <is>
          <t>Rm 305</t>
        </is>
      </c>
      <c r="C9" s="8" t="inlineStr">
        <is>
          <t>Gr 3-5</t>
        </is>
      </c>
      <c r="D9" s="8" t="n">
        <v>23</v>
      </c>
      <c r="E9" s="12">
        <f>IF(B9="","",Lessons!Q9)</f>
        <v/>
      </c>
      <c r="F9" s="12">
        <f>IF(B9="","",IF(Checks!K9&gt;0,"Review","OK"))</f>
        <v/>
      </c>
    </row>
    <row r="10">
      <c r="A10" s="12" t="n">
        <v>5</v>
      </c>
      <c r="B10" s="8" t="inlineStr">
        <is>
          <t>Per 2</t>
        </is>
      </c>
      <c r="C10" s="8" t="inlineStr">
        <is>
          <t>Gr 6-8</t>
        </is>
      </c>
      <c r="D10" s="8" t="n">
        <v>27</v>
      </c>
      <c r="E10" s="12">
        <f>IF(B10="","",Lessons!Q10)</f>
        <v/>
      </c>
      <c r="F10" s="12">
        <f>IF(B10="","",IF(Checks!K10&gt;0,"Review","OK"))</f>
        <v/>
      </c>
    </row>
    <row r="11">
      <c r="A11" s="12" t="n">
        <v>6</v>
      </c>
      <c r="B11" s="8" t="inlineStr">
        <is>
          <t>Per 5</t>
        </is>
      </c>
      <c r="C11" s="8" t="inlineStr">
        <is>
          <t>Gr 6-8</t>
        </is>
      </c>
      <c r="D11" s="8" t="n">
        <v>25</v>
      </c>
      <c r="E11" s="12">
        <f>IF(B11="","",Lessons!Q11)</f>
        <v/>
      </c>
      <c r="F11" s="12">
        <f>IF(B11="","",IF(Checks!K11&gt;0,"Review","OK"))</f>
        <v/>
      </c>
    </row>
    <row r="12">
      <c r="A12" s="12" t="n">
        <v>7</v>
      </c>
      <c r="B12" s="8" t="inlineStr">
        <is>
          <t>Adv 9A</t>
        </is>
      </c>
      <c r="C12" s="8" t="inlineStr">
        <is>
          <t>Gr 9-12</t>
        </is>
      </c>
      <c r="D12" s="8" t="n">
        <v>8</v>
      </c>
      <c r="E12" s="12">
        <f>IF(B12="","",Lessons!Q12)</f>
        <v/>
      </c>
      <c r="F12" s="12">
        <f>IF(B12="","",IF(Checks!K12&gt;0,"Review","OK"))</f>
        <v/>
      </c>
    </row>
    <row r="13">
      <c r="A13" s="12" t="n">
        <v>8</v>
      </c>
      <c r="B13" s="8" t="n"/>
      <c r="C13" s="8" t="n"/>
      <c r="D13" s="8" t="n"/>
      <c r="E13" s="12">
        <f>IF(B13="","",Lessons!Q13)</f>
        <v/>
      </c>
      <c r="F13" s="12">
        <f>IF(B13="","",IF(Checks!K13&gt;0,"Review","OK"))</f>
        <v/>
      </c>
    </row>
    <row r="14">
      <c r="A14" s="12" t="n">
        <v>9</v>
      </c>
      <c r="B14" s="8" t="n"/>
      <c r="C14" s="8" t="n"/>
      <c r="D14" s="8" t="n"/>
      <c r="E14" s="12">
        <f>IF(B14="","",Lessons!Q14)</f>
        <v/>
      </c>
      <c r="F14" s="12">
        <f>IF(B14="","",IF(Checks!K14&gt;0,"Review","OK"))</f>
        <v/>
      </c>
    </row>
    <row r="15">
      <c r="A15" s="12" t="n">
        <v>10</v>
      </c>
      <c r="B15" s="8" t="n"/>
      <c r="C15" s="8" t="n"/>
      <c r="D15" s="8" t="n"/>
      <c r="E15" s="12">
        <f>IF(B15="","",Lessons!Q15)</f>
        <v/>
      </c>
      <c r="F15" s="12">
        <f>IF(B15="","",IF(Checks!K15&gt;0,"Review","OK"))</f>
        <v/>
      </c>
    </row>
    <row r="16">
      <c r="A16" s="12" t="n">
        <v>11</v>
      </c>
      <c r="B16" s="8" t="n"/>
      <c r="C16" s="8" t="n"/>
      <c r="D16" s="8" t="n"/>
      <c r="E16" s="12">
        <f>IF(B16="","",Lessons!Q16)</f>
        <v/>
      </c>
      <c r="F16" s="12">
        <f>IF(B16="","",IF(Checks!K16&gt;0,"Review","OK"))</f>
        <v/>
      </c>
    </row>
    <row r="17">
      <c r="A17" s="12" t="n">
        <v>12</v>
      </c>
      <c r="B17" s="8" t="n"/>
      <c r="C17" s="8" t="n"/>
      <c r="D17" s="8" t="n"/>
      <c r="E17" s="12">
        <f>IF(B17="","",Lessons!Q17)</f>
        <v/>
      </c>
      <c r="F17" s="12">
        <f>IF(B17="","",IF(Checks!K17&gt;0,"Review","OK"))</f>
        <v/>
      </c>
    </row>
    <row r="18">
      <c r="A18" s="12" t="n">
        <v>13</v>
      </c>
      <c r="B18" s="8" t="n"/>
      <c r="C18" s="8" t="n"/>
      <c r="D18" s="8" t="n"/>
      <c r="E18" s="12">
        <f>IF(B18="","",Lessons!Q18)</f>
        <v/>
      </c>
      <c r="F18" s="12">
        <f>IF(B18="","",IF(Checks!K18&gt;0,"Review","OK"))</f>
        <v/>
      </c>
    </row>
    <row r="19">
      <c r="A19" s="12" t="n">
        <v>14</v>
      </c>
      <c r="B19" s="8" t="n"/>
      <c r="C19" s="8" t="n"/>
      <c r="D19" s="8" t="n"/>
      <c r="E19" s="12">
        <f>IF(B19="","",Lessons!Q19)</f>
        <v/>
      </c>
      <c r="F19" s="12">
        <f>IF(B19="","",IF(Checks!K19&gt;0,"Review","OK"))</f>
        <v/>
      </c>
    </row>
    <row r="20">
      <c r="A20" s="12" t="n">
        <v>15</v>
      </c>
      <c r="B20" s="8" t="n"/>
      <c r="C20" s="8" t="n"/>
      <c r="D20" s="8" t="n"/>
      <c r="E20" s="12">
        <f>IF(B20="","",Lessons!Q20)</f>
        <v/>
      </c>
      <c r="F20" s="12">
        <f>IF(B20="","",IF(Checks!K20&gt;0,"Review","OK"))</f>
        <v/>
      </c>
    </row>
    <row r="21">
      <c r="A21" s="12" t="n">
        <v>16</v>
      </c>
      <c r="B21" s="8" t="n"/>
      <c r="C21" s="8" t="n"/>
      <c r="D21" s="8" t="n"/>
      <c r="E21" s="12">
        <f>IF(B21="","",Lessons!Q21)</f>
        <v/>
      </c>
      <c r="F21" s="12">
        <f>IF(B21="","",IF(Checks!K21&gt;0,"Review","OK"))</f>
        <v/>
      </c>
    </row>
    <row r="22">
      <c r="A22" s="12" t="n">
        <v>17</v>
      </c>
      <c r="B22" s="8" t="n"/>
      <c r="C22" s="8" t="n"/>
      <c r="D22" s="8" t="n"/>
      <c r="E22" s="12">
        <f>IF(B22="","",Lessons!Q22)</f>
        <v/>
      </c>
      <c r="F22" s="12">
        <f>IF(B22="","",IF(Checks!K22&gt;0,"Review","OK"))</f>
        <v/>
      </c>
    </row>
    <row r="23">
      <c r="A23" s="12" t="n">
        <v>18</v>
      </c>
      <c r="B23" s="8" t="n"/>
      <c r="C23" s="8" t="n"/>
      <c r="D23" s="8" t="n"/>
      <c r="E23" s="12">
        <f>IF(B23="","",Lessons!Q23)</f>
        <v/>
      </c>
      <c r="F23" s="12">
        <f>IF(B23="","",IF(Checks!K23&gt;0,"Review","OK"))</f>
        <v/>
      </c>
    </row>
    <row r="24">
      <c r="A24" s="12" t="n">
        <v>19</v>
      </c>
      <c r="B24" s="8" t="n"/>
      <c r="C24" s="8" t="n"/>
      <c r="D24" s="8" t="n"/>
      <c r="E24" s="12">
        <f>IF(B24="","",Lessons!Q24)</f>
        <v/>
      </c>
      <c r="F24" s="12">
        <f>IF(B24="","",IF(Checks!K24&gt;0,"Review","OK"))</f>
        <v/>
      </c>
    </row>
    <row r="25">
      <c r="A25" s="12" t="n">
        <v>20</v>
      </c>
      <c r="B25" s="8" t="n"/>
      <c r="C25" s="8" t="n"/>
      <c r="D25" s="8" t="n"/>
      <c r="E25" s="12">
        <f>IF(B25="","",Lessons!Q25)</f>
        <v/>
      </c>
      <c r="F25" s="12">
        <f>IF(B25="","",IF(Checks!K25&gt;0,"Review","OK"))</f>
        <v/>
      </c>
    </row>
    <row r="26">
      <c r="A26" s="12" t="n">
        <v>21</v>
      </c>
      <c r="B26" s="8" t="n"/>
      <c r="C26" s="8" t="n"/>
      <c r="D26" s="8" t="n"/>
      <c r="E26" s="12">
        <f>IF(B26="","",Lessons!Q26)</f>
        <v/>
      </c>
      <c r="F26" s="12">
        <f>IF(B26="","",IF(Checks!K26&gt;0,"Review","OK"))</f>
        <v/>
      </c>
    </row>
    <row r="27">
      <c r="A27" s="12" t="n">
        <v>22</v>
      </c>
      <c r="B27" s="8" t="n"/>
      <c r="C27" s="8" t="n"/>
      <c r="D27" s="8" t="n"/>
      <c r="E27" s="12">
        <f>IF(B27="","",Lessons!Q27)</f>
        <v/>
      </c>
      <c r="F27" s="12">
        <f>IF(B27="","",IF(Checks!K27&gt;0,"Review","OK"))</f>
        <v/>
      </c>
    </row>
    <row r="28">
      <c r="A28" s="12" t="n">
        <v>23</v>
      </c>
      <c r="B28" s="8" t="n"/>
      <c r="C28" s="8" t="n"/>
      <c r="D28" s="8" t="n"/>
      <c r="E28" s="12">
        <f>IF(B28="","",Lessons!Q28)</f>
        <v/>
      </c>
      <c r="F28" s="12">
        <f>IF(B28="","",IF(Checks!K28&gt;0,"Review","OK"))</f>
        <v/>
      </c>
    </row>
    <row r="29">
      <c r="A29" s="12" t="n">
        <v>24</v>
      </c>
      <c r="B29" s="8" t="n"/>
      <c r="C29" s="8" t="n"/>
      <c r="D29" s="8" t="n"/>
      <c r="E29" s="12">
        <f>IF(B29="","",Lessons!Q29)</f>
        <v/>
      </c>
      <c r="F29" s="12">
        <f>IF(B29="","",IF(Checks!K29&gt;0,"Review","OK"))</f>
        <v/>
      </c>
    </row>
    <row r="30">
      <c r="A30" s="12" t="n">
        <v>25</v>
      </c>
      <c r="B30" s="8" t="n"/>
      <c r="C30" s="8" t="n"/>
      <c r="D30" s="8" t="n"/>
      <c r="E30" s="12">
        <f>IF(B30="","",Lessons!Q30)</f>
        <v/>
      </c>
      <c r="F30" s="12">
        <f>IF(B30="","",IF(Checks!K30&gt;0,"Review","OK"))</f>
        <v/>
      </c>
    </row>
    <row r="31">
      <c r="A31" s="12" t="n">
        <v>26</v>
      </c>
      <c r="B31" s="8" t="n"/>
      <c r="C31" s="8" t="n"/>
      <c r="D31" s="8" t="n"/>
      <c r="E31" s="12">
        <f>IF(B31="","",Lessons!Q31)</f>
        <v/>
      </c>
      <c r="F31" s="12">
        <f>IF(B31="","",IF(Checks!K31&gt;0,"Review","OK"))</f>
        <v/>
      </c>
    </row>
    <row r="32">
      <c r="A32" s="12" t="n">
        <v>27</v>
      </c>
      <c r="B32" s="8" t="n"/>
      <c r="C32" s="8" t="n"/>
      <c r="D32" s="8" t="n"/>
      <c r="E32" s="12">
        <f>IF(B32="","",Lessons!Q32)</f>
        <v/>
      </c>
      <c r="F32" s="12">
        <f>IF(B32="","",IF(Checks!K32&gt;0,"Review","OK"))</f>
        <v/>
      </c>
    </row>
    <row r="33">
      <c r="A33" s="12" t="n">
        <v>28</v>
      </c>
      <c r="B33" s="8" t="n"/>
      <c r="C33" s="8" t="n"/>
      <c r="D33" s="8" t="n"/>
      <c r="E33" s="12">
        <f>IF(B33="","",Lessons!Q33)</f>
        <v/>
      </c>
      <c r="F33" s="12">
        <f>IF(B33="","",IF(Checks!K33&gt;0,"Review","OK"))</f>
        <v/>
      </c>
    </row>
    <row r="34">
      <c r="A34" s="12" t="n">
        <v>29</v>
      </c>
      <c r="B34" s="8" t="n"/>
      <c r="C34" s="8" t="n"/>
      <c r="D34" s="8" t="n"/>
      <c r="E34" s="12">
        <f>IF(B34="","",Lessons!Q34)</f>
        <v/>
      </c>
      <c r="F34" s="12">
        <f>IF(B34="","",IF(Checks!K34&gt;0,"Review","OK"))</f>
        <v/>
      </c>
    </row>
    <row r="35">
      <c r="A35" s="12" t="n">
        <v>30</v>
      </c>
      <c r="B35" s="8" t="n"/>
      <c r="C35" s="8" t="n"/>
      <c r="D35" s="8" t="n"/>
      <c r="E35" s="12">
        <f>IF(B35="","",Lessons!Q35)</f>
        <v/>
      </c>
      <c r="F35" s="12">
        <f>IF(B35="","",IF(Checks!K35&gt;0,"Review","OK"))</f>
        <v/>
      </c>
    </row>
    <row r="36">
      <c r="A36" s="12" t="n">
        <v>31</v>
      </c>
      <c r="B36" s="8" t="n"/>
      <c r="C36" s="8" t="n"/>
      <c r="D36" s="8" t="n"/>
      <c r="E36" s="12">
        <f>IF(B36="","",Lessons!Q36)</f>
        <v/>
      </c>
      <c r="F36" s="12">
        <f>IF(B36="","",IF(Checks!K36&gt;0,"Review","OK"))</f>
        <v/>
      </c>
    </row>
    <row r="37">
      <c r="A37" s="12" t="n">
        <v>32</v>
      </c>
      <c r="B37" s="8" t="n"/>
      <c r="C37" s="8" t="n"/>
      <c r="D37" s="8" t="n"/>
      <c r="E37" s="12">
        <f>IF(B37="","",Lessons!Q37)</f>
        <v/>
      </c>
      <c r="F37" s="12">
        <f>IF(B37="","",IF(Checks!K37&gt;0,"Review","OK"))</f>
        <v/>
      </c>
    </row>
    <row r="38">
      <c r="A38" s="12" t="n">
        <v>33</v>
      </c>
      <c r="B38" s="8" t="n"/>
      <c r="C38" s="8" t="n"/>
      <c r="D38" s="8" t="n"/>
      <c r="E38" s="12">
        <f>IF(B38="","",Lessons!Q38)</f>
        <v/>
      </c>
      <c r="F38" s="12">
        <f>IF(B38="","",IF(Checks!K38&gt;0,"Review","OK"))</f>
        <v/>
      </c>
    </row>
    <row r="39">
      <c r="A39" s="12" t="n">
        <v>34</v>
      </c>
      <c r="B39" s="8" t="n"/>
      <c r="C39" s="8" t="n"/>
      <c r="D39" s="8" t="n"/>
      <c r="E39" s="12">
        <f>IF(B39="","",Lessons!Q39)</f>
        <v/>
      </c>
      <c r="F39" s="12">
        <f>IF(B39="","",IF(Checks!K39&gt;0,"Review","OK"))</f>
        <v/>
      </c>
    </row>
    <row r="40">
      <c r="A40" s="12" t="n">
        <v>35</v>
      </c>
      <c r="B40" s="8" t="n"/>
      <c r="C40" s="8" t="n"/>
      <c r="D40" s="8" t="n"/>
      <c r="E40" s="12">
        <f>IF(B40="","",Lessons!Q40)</f>
        <v/>
      </c>
      <c r="F40" s="12">
        <f>IF(B40="","",IF(Checks!K40&gt;0,"Review","OK"))</f>
        <v/>
      </c>
    </row>
    <row r="41">
      <c r="A41" s="12" t="n">
        <v>36</v>
      </c>
      <c r="B41" s="8" t="n"/>
      <c r="C41" s="8" t="n"/>
      <c r="D41" s="8" t="n"/>
      <c r="E41" s="12">
        <f>IF(B41="","",Lessons!Q41)</f>
        <v/>
      </c>
      <c r="F41" s="12">
        <f>IF(B41="","",IF(Checks!K41&gt;0,"Review","OK"))</f>
        <v/>
      </c>
    </row>
    <row r="42">
      <c r="A42" s="12" t="n">
        <v>37</v>
      </c>
      <c r="B42" s="8" t="n"/>
      <c r="C42" s="8" t="n"/>
      <c r="D42" s="8" t="n"/>
      <c r="E42" s="12">
        <f>IF(B42="","",Lessons!Q42)</f>
        <v/>
      </c>
      <c r="F42" s="12">
        <f>IF(B42="","",IF(Checks!K42&gt;0,"Review","OK"))</f>
        <v/>
      </c>
    </row>
    <row r="43">
      <c r="A43" s="12" t="n">
        <v>38</v>
      </c>
      <c r="B43" s="8" t="n"/>
      <c r="C43" s="8" t="n"/>
      <c r="D43" s="8" t="n"/>
      <c r="E43" s="12">
        <f>IF(B43="","",Lessons!Q43)</f>
        <v/>
      </c>
      <c r="F43" s="12">
        <f>IF(B43="","",IF(Checks!K43&gt;0,"Review","OK"))</f>
        <v/>
      </c>
    </row>
    <row r="44">
      <c r="A44" s="12" t="n">
        <v>39</v>
      </c>
      <c r="B44" s="8" t="n"/>
      <c r="C44" s="8" t="n"/>
      <c r="D44" s="8" t="n"/>
      <c r="E44" s="12">
        <f>IF(B44="","",Lessons!Q44)</f>
        <v/>
      </c>
      <c r="F44" s="12">
        <f>IF(B44="","",IF(Checks!K44&gt;0,"Review","OK"))</f>
        <v/>
      </c>
    </row>
    <row r="45">
      <c r="A45" s="12" t="n">
        <v>40</v>
      </c>
      <c r="B45" s="8" t="n"/>
      <c r="C45" s="8" t="n"/>
      <c r="D45" s="8" t="n"/>
      <c r="E45" s="12">
        <f>IF(B45="","",Lessons!Q45)</f>
        <v/>
      </c>
      <c r="F45" s="12">
        <f>IF(B45="","",IF(Checks!K45&gt;0,"Review","OK"))</f>
        <v/>
      </c>
    </row>
  </sheetData>
  <sheetProtection selectLockedCells="0" selectUnlockedCells="0" sheet="1" objects="0" insertRows="1" insertHyperlinks="1" autoFilter="0" scenarios="0" formatColumns="0" deleteColumns="1" insertColumns="1" pivotTables="1" deleteRows="1" formatCells="1" formatRows="0" sort="0"/>
  <mergeCells count="2">
    <mergeCell ref="A3:F3"/>
    <mergeCell ref="A2:F2"/>
  </mergeCells>
  <conditionalFormatting sqref="F6:F45">
    <cfRule type="cellIs" priority="1" operator="equal" dxfId="0">
      <formula>"Review"</formula>
    </cfRule>
  </conditionalFormatting>
  <dataValidations count="3">
    <dataValidation sqref="B6:B45" showDropDown="0" showInputMessage="1" showErrorMessage="1" allowBlank="1" errorTitle="Check this entry" error="Use 1 to 24 characters. No names." promptTitle="Class label" prompt="A room or period, up to 24 characters. No names." type="textLength" errorStyle="stop" operator="between">
      <formula1>1</formula1>
      <formula2>24</formula2>
    </dataValidation>
    <dataValidation sqref="C6:C45" showDropDown="0" showInputMessage="1" showErrorMessage="1" allowBlank="1" errorTitle="Check this entry" error="Choose a band from the list." promptTitle="Grade band" prompt="Choose Gr K-2, Gr 3-5, Gr 6-8 or Gr 9-12." type="list" errorStyle="stop">
      <formula1>Lists!$A$6:$A$9</formula1>
    </dataValidation>
    <dataValidation sqref="D6:D45" showDropDown="0" showInputMessage="1" showErrorMessage="1" allowBlank="1" errorTitle="Check this entry" error="Type a whole number from 0 to 2000." promptTitle="Students enrolled" prompt="A count, such as 24." type="whole" errorStyle="stop" operator="between">
      <formula1>0</formula1>
      <formula2>2000</formula2>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4.xml><?xml version="1.0" encoding="utf-8"?>
<worksheet xmlns="http://schemas.openxmlformats.org/spreadsheetml/2006/main">
  <sheetPr>
    <tabColor rgb="00FF8A3D"/>
    <outlinePr summaryBelow="1" summaryRight="1"/>
    <pageSetUpPr fitToPage="1"/>
  </sheetPr>
  <dimension ref="A1:T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12" customWidth="1" min="17" max="17"/>
    <col width="10" customWidth="1" min="18" max="18"/>
    <col width="12" customWidth="1" min="19" max="19"/>
    <col width="12" customWidth="1" min="20" max="20"/>
  </cols>
  <sheetData>
    <row r="1">
      <c r="A1" s="5" t="inlineStr">
        <is>
          <t>Lessons delivered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Choose Yes, Partial or Not yet for each lesson. L1 to L10 are the core lessons. P1 to P4 are the Plus lessons (grades 6-12 only). Orange-tinted blank cells are sensitive lessons for that band: counselor heads-up and family notice first.</t>
        </is>
      </c>
    </row>
    <row r="5" ht="48" customHeight="1">
      <c r="A5" s="11" t="inlineStr">
        <is>
          <t>Class</t>
        </is>
      </c>
      <c r="B5" s="11" t="inlineStr">
        <is>
          <t>Band</t>
        </is>
      </c>
      <c r="C5" s="11" t="inlineStr">
        <is>
          <t>L1</t>
        </is>
      </c>
      <c r="D5" s="11" t="inlineStr">
        <is>
          <t>L2</t>
        </is>
      </c>
      <c r="E5" s="11" t="inlineStr">
        <is>
          <t>L3</t>
        </is>
      </c>
      <c r="F5" s="11" t="inlineStr">
        <is>
          <t>L4</t>
        </is>
      </c>
      <c r="G5" s="11" t="inlineStr">
        <is>
          <t>L5</t>
        </is>
      </c>
      <c r="H5" s="11" t="inlineStr">
        <is>
          <t>L6</t>
        </is>
      </c>
      <c r="I5" s="11" t="inlineStr">
        <is>
          <t>L7</t>
        </is>
      </c>
      <c r="J5" s="11" t="inlineStr">
        <is>
          <t>L8</t>
        </is>
      </c>
      <c r="K5" s="11" t="inlineStr">
        <is>
          <t>L9</t>
        </is>
      </c>
      <c r="L5" s="11" t="inlineStr">
        <is>
          <t>L10</t>
        </is>
      </c>
      <c r="M5" s="11" t="inlineStr">
        <is>
          <t>P1</t>
        </is>
      </c>
      <c r="N5" s="11" t="inlineStr">
        <is>
          <t>P2</t>
        </is>
      </c>
      <c r="O5" s="11" t="inlineStr">
        <is>
          <t>P3</t>
        </is>
      </c>
      <c r="P5" s="11" t="inlineStr">
        <is>
          <t>P4</t>
        </is>
      </c>
      <c r="Q5" s="11" t="inlineStr">
        <is>
          <t>Core delivered (Yes)</t>
        </is>
      </c>
      <c r="R5" s="11" t="inlineStr">
        <is>
          <t>Core partial</t>
        </is>
      </c>
      <c r="S5" s="11" t="inlineStr">
        <is>
          <t>Core completion %</t>
        </is>
      </c>
      <c r="T5" s="11" t="inlineStr">
        <is>
          <t>Plus delivered (Yes)</t>
        </is>
      </c>
    </row>
    <row r="6">
      <c r="A6" s="12">
        <f>IF(Classes!B6="","",Classes!B6)</f>
        <v/>
      </c>
      <c r="B6" s="12">
        <f>IF(Classes!B6="","",IF(Classes!C6="","",Classes!C6))</f>
        <v/>
      </c>
      <c r="C6" s="13" t="inlineStr">
        <is>
          <t>Yes</t>
        </is>
      </c>
      <c r="D6" s="13" t="inlineStr">
        <is>
          <t>Yes</t>
        </is>
      </c>
      <c r="E6" s="13" t="inlineStr">
        <is>
          <t>Yes</t>
        </is>
      </c>
      <c r="F6" s="13" t="inlineStr">
        <is>
          <t>Yes</t>
        </is>
      </c>
      <c r="G6" s="13" t="inlineStr">
        <is>
          <t>Yes</t>
        </is>
      </c>
      <c r="H6" s="13" t="inlineStr">
        <is>
          <t>Yes</t>
        </is>
      </c>
      <c r="I6" s="13" t="inlineStr">
        <is>
          <t>Yes</t>
        </is>
      </c>
      <c r="J6" s="13" t="inlineStr">
        <is>
          <t>Partial</t>
        </is>
      </c>
      <c r="K6" s="13" t="inlineStr">
        <is>
          <t>Not yet</t>
        </is>
      </c>
      <c r="L6" s="13" t="inlineStr">
        <is>
          <t>Not yet</t>
        </is>
      </c>
      <c r="M6" s="13" t="n"/>
      <c r="N6" s="13" t="n"/>
      <c r="O6" s="13" t="n"/>
      <c r="P6" s="13" t="n"/>
      <c r="Q6" s="14">
        <f>IF(A6="","",COUNTIF(C6:L6,"Yes"))</f>
        <v/>
      </c>
      <c r="R6" s="14">
        <f>IF(A6="","",COUNTIF(C6:L6,"Partial"))</f>
        <v/>
      </c>
      <c r="S6" s="15">
        <f>IF(A6="","",Q6/10)</f>
        <v/>
      </c>
      <c r="T6" s="14">
        <f>IF(A6="","",COUNTIF(M6:P6,"Yes"))</f>
        <v/>
      </c>
    </row>
    <row r="7">
      <c r="A7" s="12">
        <f>IF(Classes!B7="","",Classes!B7)</f>
        <v/>
      </c>
      <c r="B7" s="12">
        <f>IF(Classes!B7="","",IF(Classes!C7="","",Classes!C7))</f>
        <v/>
      </c>
      <c r="C7" s="13" t="inlineStr">
        <is>
          <t>Yes</t>
        </is>
      </c>
      <c r="D7" s="13" t="inlineStr">
        <is>
          <t>Yes</t>
        </is>
      </c>
      <c r="E7" s="13" t="inlineStr">
        <is>
          <t>Yes</t>
        </is>
      </c>
      <c r="F7" s="13" t="inlineStr">
        <is>
          <t>Yes</t>
        </is>
      </c>
      <c r="G7" s="13" t="inlineStr">
        <is>
          <t>Yes</t>
        </is>
      </c>
      <c r="H7" s="13" t="inlineStr">
        <is>
          <t>Yes</t>
        </is>
      </c>
      <c r="I7" s="13" t="inlineStr">
        <is>
          <t>Partial</t>
        </is>
      </c>
      <c r="J7" s="13" t="inlineStr">
        <is>
          <t>Not yet</t>
        </is>
      </c>
      <c r="K7" s="13" t="inlineStr">
        <is>
          <t>Not yet</t>
        </is>
      </c>
      <c r="L7" s="13" t="inlineStr">
        <is>
          <t>Not yet</t>
        </is>
      </c>
      <c r="M7" s="13" t="n"/>
      <c r="N7" s="13" t="n"/>
      <c r="O7" s="13" t="n"/>
      <c r="P7" s="13" t="n"/>
      <c r="Q7" s="14">
        <f>IF(A7="","",COUNTIF(C7:L7,"Yes"))</f>
        <v/>
      </c>
      <c r="R7" s="14">
        <f>IF(A7="","",COUNTIF(C7:L7,"Partial"))</f>
        <v/>
      </c>
      <c r="S7" s="15">
        <f>IF(A7="","",Q7/10)</f>
        <v/>
      </c>
      <c r="T7" s="14">
        <f>IF(A7="","",COUNTIF(M7:P7,"Yes"))</f>
        <v/>
      </c>
    </row>
    <row r="8">
      <c r="A8" s="12">
        <f>IF(Classes!B8="","",Classes!B8)</f>
        <v/>
      </c>
      <c r="B8" s="12">
        <f>IF(Classes!B8="","",IF(Classes!C8="","",Classes!C8))</f>
        <v/>
      </c>
      <c r="C8" s="13" t="inlineStr">
        <is>
          <t>Yes</t>
        </is>
      </c>
      <c r="D8" s="13" t="inlineStr">
        <is>
          <t>Yes</t>
        </is>
      </c>
      <c r="E8" s="13" t="inlineStr">
        <is>
          <t>Yes</t>
        </is>
      </c>
      <c r="F8" s="13" t="inlineStr">
        <is>
          <t>Yes</t>
        </is>
      </c>
      <c r="G8" s="13" t="inlineStr">
        <is>
          <t>Yes</t>
        </is>
      </c>
      <c r="H8" s="13" t="inlineStr">
        <is>
          <t>Yes</t>
        </is>
      </c>
      <c r="I8" s="13" t="inlineStr">
        <is>
          <t>Yes</t>
        </is>
      </c>
      <c r="J8" s="13" t="inlineStr">
        <is>
          <t>Yes</t>
        </is>
      </c>
      <c r="K8" s="13" t="inlineStr">
        <is>
          <t>Not yet</t>
        </is>
      </c>
      <c r="L8" s="13" t="inlineStr">
        <is>
          <t>Not yet</t>
        </is>
      </c>
      <c r="M8" s="13" t="n"/>
      <c r="N8" s="13" t="n"/>
      <c r="O8" s="13" t="n"/>
      <c r="P8" s="13" t="n"/>
      <c r="Q8" s="14">
        <f>IF(A8="","",COUNTIF(C8:L8,"Yes"))</f>
        <v/>
      </c>
      <c r="R8" s="14">
        <f>IF(A8="","",COUNTIF(C8:L8,"Partial"))</f>
        <v/>
      </c>
      <c r="S8" s="15">
        <f>IF(A8="","",Q8/10)</f>
        <v/>
      </c>
      <c r="T8" s="14">
        <f>IF(A8="","",COUNTIF(M8:P8,"Yes"))</f>
        <v/>
      </c>
    </row>
    <row r="9">
      <c r="A9" s="12">
        <f>IF(Classes!B9="","",Classes!B9)</f>
        <v/>
      </c>
      <c r="B9" s="12">
        <f>IF(Classes!B9="","",IF(Classes!C9="","",Classes!C9))</f>
        <v/>
      </c>
      <c r="C9" s="13" t="inlineStr">
        <is>
          <t>Yes</t>
        </is>
      </c>
      <c r="D9" s="13" t="inlineStr">
        <is>
          <t>Yes</t>
        </is>
      </c>
      <c r="E9" s="13" t="inlineStr">
        <is>
          <t>Yes</t>
        </is>
      </c>
      <c r="F9" s="13" t="inlineStr">
        <is>
          <t>Yes</t>
        </is>
      </c>
      <c r="G9" s="13" t="inlineStr">
        <is>
          <t>Yes</t>
        </is>
      </c>
      <c r="H9" s="13" t="inlineStr">
        <is>
          <t>Partial</t>
        </is>
      </c>
      <c r="I9" s="13" t="inlineStr">
        <is>
          <t>Not yet</t>
        </is>
      </c>
      <c r="J9" s="13" t="inlineStr">
        <is>
          <t>Not yet</t>
        </is>
      </c>
      <c r="K9" s="13" t="inlineStr">
        <is>
          <t>Not yet</t>
        </is>
      </c>
      <c r="L9" s="13" t="inlineStr">
        <is>
          <t>Not yet</t>
        </is>
      </c>
      <c r="M9" s="13" t="n"/>
      <c r="N9" s="13" t="n"/>
      <c r="O9" s="13" t="n"/>
      <c r="P9" s="13" t="n"/>
      <c r="Q9" s="14">
        <f>IF(A9="","",COUNTIF(C9:L9,"Yes"))</f>
        <v/>
      </c>
      <c r="R9" s="14">
        <f>IF(A9="","",COUNTIF(C9:L9,"Partial"))</f>
        <v/>
      </c>
      <c r="S9" s="15">
        <f>IF(A9="","",Q9/10)</f>
        <v/>
      </c>
      <c r="T9" s="14">
        <f>IF(A9="","",COUNTIF(M9:P9,"Yes"))</f>
        <v/>
      </c>
    </row>
    <row r="10">
      <c r="A10" s="12">
        <f>IF(Classes!B10="","",Classes!B10)</f>
        <v/>
      </c>
      <c r="B10" s="12">
        <f>IF(Classes!B10="","",IF(Classes!C10="","",Classes!C10))</f>
        <v/>
      </c>
      <c r="C10" s="13" t="inlineStr">
        <is>
          <t>Yes</t>
        </is>
      </c>
      <c r="D10" s="13" t="inlineStr">
        <is>
          <t>Yes</t>
        </is>
      </c>
      <c r="E10" s="13" t="inlineStr">
        <is>
          <t>Yes</t>
        </is>
      </c>
      <c r="F10" s="13" t="inlineStr">
        <is>
          <t>Yes</t>
        </is>
      </c>
      <c r="G10" s="13" t="inlineStr">
        <is>
          <t>Yes</t>
        </is>
      </c>
      <c r="H10" s="13" t="inlineStr">
        <is>
          <t>Yes</t>
        </is>
      </c>
      <c r="I10" s="13" t="inlineStr">
        <is>
          <t>Yes</t>
        </is>
      </c>
      <c r="J10" s="13" t="inlineStr">
        <is>
          <t>Yes</t>
        </is>
      </c>
      <c r="K10" s="13" t="inlineStr">
        <is>
          <t>Yes</t>
        </is>
      </c>
      <c r="L10" s="13" t="inlineStr">
        <is>
          <t>Not yet</t>
        </is>
      </c>
      <c r="M10" s="13" t="inlineStr">
        <is>
          <t>Not yet</t>
        </is>
      </c>
      <c r="N10" s="13" t="inlineStr">
        <is>
          <t>Not yet</t>
        </is>
      </c>
      <c r="O10" s="13" t="inlineStr">
        <is>
          <t>Yes</t>
        </is>
      </c>
      <c r="P10" s="13" t="n"/>
      <c r="Q10" s="14">
        <f>IF(A10="","",COUNTIF(C10:L10,"Yes"))</f>
        <v/>
      </c>
      <c r="R10" s="14">
        <f>IF(A10="","",COUNTIF(C10:L10,"Partial"))</f>
        <v/>
      </c>
      <c r="S10" s="15">
        <f>IF(A10="","",Q10/10)</f>
        <v/>
      </c>
      <c r="T10" s="14">
        <f>IF(A10="","",COUNTIF(M10:P10,"Yes"))</f>
        <v/>
      </c>
    </row>
    <row r="11">
      <c r="A11" s="12">
        <f>IF(Classes!B11="","",Classes!B11)</f>
        <v/>
      </c>
      <c r="B11" s="12">
        <f>IF(Classes!B11="","",IF(Classes!C11="","",Classes!C11))</f>
        <v/>
      </c>
      <c r="C11" s="13" t="inlineStr">
        <is>
          <t>Yes</t>
        </is>
      </c>
      <c r="D11" s="13" t="inlineStr">
        <is>
          <t>Yes</t>
        </is>
      </c>
      <c r="E11" s="13" t="inlineStr">
        <is>
          <t>Yes</t>
        </is>
      </c>
      <c r="F11" s="13" t="inlineStr">
        <is>
          <t>Yes</t>
        </is>
      </c>
      <c r="G11" s="13" t="inlineStr">
        <is>
          <t>Yes</t>
        </is>
      </c>
      <c r="H11" s="13" t="inlineStr">
        <is>
          <t>Yes</t>
        </is>
      </c>
      <c r="I11" s="13" t="inlineStr">
        <is>
          <t>Yes</t>
        </is>
      </c>
      <c r="J11" s="13" t="inlineStr">
        <is>
          <t>Yes</t>
        </is>
      </c>
      <c r="K11" s="13" t="inlineStr">
        <is>
          <t>Partial</t>
        </is>
      </c>
      <c r="L11" s="13" t="inlineStr">
        <is>
          <t>Not yet</t>
        </is>
      </c>
      <c r="M11" s="13" t="inlineStr">
        <is>
          <t>Not yet</t>
        </is>
      </c>
      <c r="N11" s="13" t="inlineStr">
        <is>
          <t>Not yet</t>
        </is>
      </c>
      <c r="O11" s="13" t="inlineStr">
        <is>
          <t>Partial</t>
        </is>
      </c>
      <c r="P11" s="13" t="n"/>
      <c r="Q11" s="14">
        <f>IF(A11="","",COUNTIF(C11:L11,"Yes"))</f>
        <v/>
      </c>
      <c r="R11" s="14">
        <f>IF(A11="","",COUNTIF(C11:L11,"Partial"))</f>
        <v/>
      </c>
      <c r="S11" s="15">
        <f>IF(A11="","",Q11/10)</f>
        <v/>
      </c>
      <c r="T11" s="14">
        <f>IF(A11="","",COUNTIF(M11:P11,"Yes"))</f>
        <v/>
      </c>
    </row>
    <row r="12">
      <c r="A12" s="12">
        <f>IF(Classes!B12="","",Classes!B12)</f>
        <v/>
      </c>
      <c r="B12" s="12">
        <f>IF(Classes!B12="","",IF(Classes!C12="","",Classes!C12))</f>
        <v/>
      </c>
      <c r="C12" s="13" t="inlineStr">
        <is>
          <t>Yes</t>
        </is>
      </c>
      <c r="D12" s="13" t="inlineStr">
        <is>
          <t>Yes</t>
        </is>
      </c>
      <c r="E12" s="13" t="inlineStr">
        <is>
          <t>Yes</t>
        </is>
      </c>
      <c r="F12" s="13" t="inlineStr">
        <is>
          <t>Yes</t>
        </is>
      </c>
      <c r="G12" s="13" t="inlineStr">
        <is>
          <t>Yes</t>
        </is>
      </c>
      <c r="H12" s="13" t="inlineStr">
        <is>
          <t>Yes</t>
        </is>
      </c>
      <c r="I12" s="13" t="inlineStr">
        <is>
          <t>Not yet</t>
        </is>
      </c>
      <c r="J12" s="13" t="inlineStr">
        <is>
          <t>Not yet</t>
        </is>
      </c>
      <c r="K12" s="13" t="inlineStr">
        <is>
          <t>Not yet</t>
        </is>
      </c>
      <c r="L12" s="13" t="inlineStr">
        <is>
          <t>Not yet</t>
        </is>
      </c>
      <c r="M12" s="13" t="inlineStr">
        <is>
          <t>Not yet</t>
        </is>
      </c>
      <c r="N12" s="13" t="inlineStr">
        <is>
          <t>Not yet</t>
        </is>
      </c>
      <c r="O12" s="13" t="inlineStr">
        <is>
          <t>Yes</t>
        </is>
      </c>
      <c r="P12" s="13" t="inlineStr">
        <is>
          <t>Not yet</t>
        </is>
      </c>
      <c r="Q12" s="14">
        <f>IF(A12="","",COUNTIF(C12:L12,"Yes"))</f>
        <v/>
      </c>
      <c r="R12" s="14">
        <f>IF(A12="","",COUNTIF(C12:L12,"Partial"))</f>
        <v/>
      </c>
      <c r="S12" s="15">
        <f>IF(A12="","",Q12/10)</f>
        <v/>
      </c>
      <c r="T12" s="14">
        <f>IF(A12="","",COUNTIF(M12:P12,"Yes"))</f>
        <v/>
      </c>
    </row>
    <row r="13">
      <c r="A13" s="12">
        <f>IF(Classes!B13="","",Classes!B13)</f>
        <v/>
      </c>
      <c r="B13" s="12">
        <f>IF(Classes!B13="","",IF(Classes!C13="","",Classes!C13))</f>
        <v/>
      </c>
      <c r="C13" s="13" t="n"/>
      <c r="D13" s="13" t="n"/>
      <c r="E13" s="13" t="n"/>
      <c r="F13" s="13" t="n"/>
      <c r="G13" s="13" t="n"/>
      <c r="H13" s="13" t="n"/>
      <c r="I13" s="13" t="n"/>
      <c r="J13" s="13" t="n"/>
      <c r="K13" s="13" t="n"/>
      <c r="L13" s="13" t="n"/>
      <c r="M13" s="13" t="n"/>
      <c r="N13" s="13" t="n"/>
      <c r="O13" s="13" t="n"/>
      <c r="P13" s="13" t="n"/>
      <c r="Q13" s="14">
        <f>IF(A13="","",COUNTIF(C13:L13,"Yes"))</f>
        <v/>
      </c>
      <c r="R13" s="14">
        <f>IF(A13="","",COUNTIF(C13:L13,"Partial"))</f>
        <v/>
      </c>
      <c r="S13" s="15">
        <f>IF(A13="","",Q13/10)</f>
        <v/>
      </c>
      <c r="T13" s="14">
        <f>IF(A13="","",COUNTIF(M13:P13,"Yes"))</f>
        <v/>
      </c>
    </row>
    <row r="14">
      <c r="A14" s="12">
        <f>IF(Classes!B14="","",Classes!B14)</f>
        <v/>
      </c>
      <c r="B14" s="12">
        <f>IF(Classes!B14="","",IF(Classes!C14="","",Classes!C14))</f>
        <v/>
      </c>
      <c r="C14" s="13" t="n"/>
      <c r="D14" s="13" t="n"/>
      <c r="E14" s="13" t="n"/>
      <c r="F14" s="13" t="n"/>
      <c r="G14" s="13" t="n"/>
      <c r="H14" s="13" t="n"/>
      <c r="I14" s="13" t="n"/>
      <c r="J14" s="13" t="n"/>
      <c r="K14" s="13" t="n"/>
      <c r="L14" s="13" t="n"/>
      <c r="M14" s="13" t="n"/>
      <c r="N14" s="13" t="n"/>
      <c r="O14" s="13" t="n"/>
      <c r="P14" s="13" t="n"/>
      <c r="Q14" s="14">
        <f>IF(A14="","",COUNTIF(C14:L14,"Yes"))</f>
        <v/>
      </c>
      <c r="R14" s="14">
        <f>IF(A14="","",COUNTIF(C14:L14,"Partial"))</f>
        <v/>
      </c>
      <c r="S14" s="15">
        <f>IF(A14="","",Q14/10)</f>
        <v/>
      </c>
      <c r="T14" s="14">
        <f>IF(A14="","",COUNTIF(M14:P14,"Yes"))</f>
        <v/>
      </c>
    </row>
    <row r="15">
      <c r="A15" s="12">
        <f>IF(Classes!B15="","",Classes!B15)</f>
        <v/>
      </c>
      <c r="B15" s="12">
        <f>IF(Classes!B15="","",IF(Classes!C15="","",Classes!C15))</f>
        <v/>
      </c>
      <c r="C15" s="13" t="n"/>
      <c r="D15" s="13" t="n"/>
      <c r="E15" s="13" t="n"/>
      <c r="F15" s="13" t="n"/>
      <c r="G15" s="13" t="n"/>
      <c r="H15" s="13" t="n"/>
      <c r="I15" s="13" t="n"/>
      <c r="J15" s="13" t="n"/>
      <c r="K15" s="13" t="n"/>
      <c r="L15" s="13" t="n"/>
      <c r="M15" s="13" t="n"/>
      <c r="N15" s="13" t="n"/>
      <c r="O15" s="13" t="n"/>
      <c r="P15" s="13" t="n"/>
      <c r="Q15" s="14">
        <f>IF(A15="","",COUNTIF(C15:L15,"Yes"))</f>
        <v/>
      </c>
      <c r="R15" s="14">
        <f>IF(A15="","",COUNTIF(C15:L15,"Partial"))</f>
        <v/>
      </c>
      <c r="S15" s="15">
        <f>IF(A15="","",Q15/10)</f>
        <v/>
      </c>
      <c r="T15" s="14">
        <f>IF(A15="","",COUNTIF(M15:P15,"Yes"))</f>
        <v/>
      </c>
    </row>
    <row r="16">
      <c r="A16" s="12">
        <f>IF(Classes!B16="","",Classes!B16)</f>
        <v/>
      </c>
      <c r="B16" s="12">
        <f>IF(Classes!B16="","",IF(Classes!C16="","",Classes!C16))</f>
        <v/>
      </c>
      <c r="C16" s="13" t="n"/>
      <c r="D16" s="13" t="n"/>
      <c r="E16" s="13" t="n"/>
      <c r="F16" s="13" t="n"/>
      <c r="G16" s="13" t="n"/>
      <c r="H16" s="13" t="n"/>
      <c r="I16" s="13" t="n"/>
      <c r="J16" s="13" t="n"/>
      <c r="K16" s="13" t="n"/>
      <c r="L16" s="13" t="n"/>
      <c r="M16" s="13" t="n"/>
      <c r="N16" s="13" t="n"/>
      <c r="O16" s="13" t="n"/>
      <c r="P16" s="13" t="n"/>
      <c r="Q16" s="14">
        <f>IF(A16="","",COUNTIF(C16:L16,"Yes"))</f>
        <v/>
      </c>
      <c r="R16" s="14">
        <f>IF(A16="","",COUNTIF(C16:L16,"Partial"))</f>
        <v/>
      </c>
      <c r="S16" s="15">
        <f>IF(A16="","",Q16/10)</f>
        <v/>
      </c>
      <c r="T16" s="14">
        <f>IF(A16="","",COUNTIF(M16:P16,"Yes"))</f>
        <v/>
      </c>
    </row>
    <row r="17">
      <c r="A17" s="12">
        <f>IF(Classes!B17="","",Classes!B17)</f>
        <v/>
      </c>
      <c r="B17" s="12">
        <f>IF(Classes!B17="","",IF(Classes!C17="","",Classes!C17))</f>
        <v/>
      </c>
      <c r="C17" s="13" t="n"/>
      <c r="D17" s="13" t="n"/>
      <c r="E17" s="13" t="n"/>
      <c r="F17" s="13" t="n"/>
      <c r="G17" s="13" t="n"/>
      <c r="H17" s="13" t="n"/>
      <c r="I17" s="13" t="n"/>
      <c r="J17" s="13" t="n"/>
      <c r="K17" s="13" t="n"/>
      <c r="L17" s="13" t="n"/>
      <c r="M17" s="13" t="n"/>
      <c r="N17" s="13" t="n"/>
      <c r="O17" s="13" t="n"/>
      <c r="P17" s="13" t="n"/>
      <c r="Q17" s="14">
        <f>IF(A17="","",COUNTIF(C17:L17,"Yes"))</f>
        <v/>
      </c>
      <c r="R17" s="14">
        <f>IF(A17="","",COUNTIF(C17:L17,"Partial"))</f>
        <v/>
      </c>
      <c r="S17" s="15">
        <f>IF(A17="","",Q17/10)</f>
        <v/>
      </c>
      <c r="T17" s="14">
        <f>IF(A17="","",COUNTIF(M17:P17,"Yes"))</f>
        <v/>
      </c>
    </row>
    <row r="18">
      <c r="A18" s="12">
        <f>IF(Classes!B18="","",Classes!B18)</f>
        <v/>
      </c>
      <c r="B18" s="12">
        <f>IF(Classes!B18="","",IF(Classes!C18="","",Classes!C18))</f>
        <v/>
      </c>
      <c r="C18" s="13" t="n"/>
      <c r="D18" s="13" t="n"/>
      <c r="E18" s="13" t="n"/>
      <c r="F18" s="13" t="n"/>
      <c r="G18" s="13" t="n"/>
      <c r="H18" s="13" t="n"/>
      <c r="I18" s="13" t="n"/>
      <c r="J18" s="13" t="n"/>
      <c r="K18" s="13" t="n"/>
      <c r="L18" s="13" t="n"/>
      <c r="M18" s="13" t="n"/>
      <c r="N18" s="13" t="n"/>
      <c r="O18" s="13" t="n"/>
      <c r="P18" s="13" t="n"/>
      <c r="Q18" s="14">
        <f>IF(A18="","",COUNTIF(C18:L18,"Yes"))</f>
        <v/>
      </c>
      <c r="R18" s="14">
        <f>IF(A18="","",COUNTIF(C18:L18,"Partial"))</f>
        <v/>
      </c>
      <c r="S18" s="15">
        <f>IF(A18="","",Q18/10)</f>
        <v/>
      </c>
      <c r="T18" s="14">
        <f>IF(A18="","",COUNTIF(M18:P18,"Yes"))</f>
        <v/>
      </c>
    </row>
    <row r="19">
      <c r="A19" s="12">
        <f>IF(Classes!B19="","",Classes!B19)</f>
        <v/>
      </c>
      <c r="B19" s="12">
        <f>IF(Classes!B19="","",IF(Classes!C19="","",Classes!C19))</f>
        <v/>
      </c>
      <c r="C19" s="13" t="n"/>
      <c r="D19" s="13" t="n"/>
      <c r="E19" s="13" t="n"/>
      <c r="F19" s="13" t="n"/>
      <c r="G19" s="13" t="n"/>
      <c r="H19" s="13" t="n"/>
      <c r="I19" s="13" t="n"/>
      <c r="J19" s="13" t="n"/>
      <c r="K19" s="13" t="n"/>
      <c r="L19" s="13" t="n"/>
      <c r="M19" s="13" t="n"/>
      <c r="N19" s="13" t="n"/>
      <c r="O19" s="13" t="n"/>
      <c r="P19" s="13" t="n"/>
      <c r="Q19" s="14">
        <f>IF(A19="","",COUNTIF(C19:L19,"Yes"))</f>
        <v/>
      </c>
      <c r="R19" s="14">
        <f>IF(A19="","",COUNTIF(C19:L19,"Partial"))</f>
        <v/>
      </c>
      <c r="S19" s="15">
        <f>IF(A19="","",Q19/10)</f>
        <v/>
      </c>
      <c r="T19" s="14">
        <f>IF(A19="","",COUNTIF(M19:P19,"Yes"))</f>
        <v/>
      </c>
    </row>
    <row r="20">
      <c r="A20" s="12">
        <f>IF(Classes!B20="","",Classes!B20)</f>
        <v/>
      </c>
      <c r="B20" s="12">
        <f>IF(Classes!B20="","",IF(Classes!C20="","",Classes!C20))</f>
        <v/>
      </c>
      <c r="C20" s="13" t="n"/>
      <c r="D20" s="13" t="n"/>
      <c r="E20" s="13" t="n"/>
      <c r="F20" s="13" t="n"/>
      <c r="G20" s="13" t="n"/>
      <c r="H20" s="13" t="n"/>
      <c r="I20" s="13" t="n"/>
      <c r="J20" s="13" t="n"/>
      <c r="K20" s="13" t="n"/>
      <c r="L20" s="13" t="n"/>
      <c r="M20" s="13" t="n"/>
      <c r="N20" s="13" t="n"/>
      <c r="O20" s="13" t="n"/>
      <c r="P20" s="13" t="n"/>
      <c r="Q20" s="14">
        <f>IF(A20="","",COUNTIF(C20:L20,"Yes"))</f>
        <v/>
      </c>
      <c r="R20" s="14">
        <f>IF(A20="","",COUNTIF(C20:L20,"Partial"))</f>
        <v/>
      </c>
      <c r="S20" s="15">
        <f>IF(A20="","",Q20/10)</f>
        <v/>
      </c>
      <c r="T20" s="14">
        <f>IF(A20="","",COUNTIF(M20:P20,"Yes"))</f>
        <v/>
      </c>
    </row>
    <row r="21">
      <c r="A21" s="12">
        <f>IF(Classes!B21="","",Classes!B21)</f>
        <v/>
      </c>
      <c r="B21" s="12">
        <f>IF(Classes!B21="","",IF(Classes!C21="","",Classes!C21))</f>
        <v/>
      </c>
      <c r="C21" s="13" t="n"/>
      <c r="D21" s="13" t="n"/>
      <c r="E21" s="13" t="n"/>
      <c r="F21" s="13" t="n"/>
      <c r="G21" s="13" t="n"/>
      <c r="H21" s="13" t="n"/>
      <c r="I21" s="13" t="n"/>
      <c r="J21" s="13" t="n"/>
      <c r="K21" s="13" t="n"/>
      <c r="L21" s="13" t="n"/>
      <c r="M21" s="13" t="n"/>
      <c r="N21" s="13" t="n"/>
      <c r="O21" s="13" t="n"/>
      <c r="P21" s="13" t="n"/>
      <c r="Q21" s="14">
        <f>IF(A21="","",COUNTIF(C21:L21,"Yes"))</f>
        <v/>
      </c>
      <c r="R21" s="14">
        <f>IF(A21="","",COUNTIF(C21:L21,"Partial"))</f>
        <v/>
      </c>
      <c r="S21" s="15">
        <f>IF(A21="","",Q21/10)</f>
        <v/>
      </c>
      <c r="T21" s="14">
        <f>IF(A21="","",COUNTIF(M21:P21,"Yes"))</f>
        <v/>
      </c>
    </row>
    <row r="22">
      <c r="A22" s="12">
        <f>IF(Classes!B22="","",Classes!B22)</f>
        <v/>
      </c>
      <c r="B22" s="12">
        <f>IF(Classes!B22="","",IF(Classes!C22="","",Classes!C22))</f>
        <v/>
      </c>
      <c r="C22" s="13" t="n"/>
      <c r="D22" s="13" t="n"/>
      <c r="E22" s="13" t="n"/>
      <c r="F22" s="13" t="n"/>
      <c r="G22" s="13" t="n"/>
      <c r="H22" s="13" t="n"/>
      <c r="I22" s="13" t="n"/>
      <c r="J22" s="13" t="n"/>
      <c r="K22" s="13" t="n"/>
      <c r="L22" s="13" t="n"/>
      <c r="M22" s="13" t="n"/>
      <c r="N22" s="13" t="n"/>
      <c r="O22" s="13" t="n"/>
      <c r="P22" s="13" t="n"/>
      <c r="Q22" s="14">
        <f>IF(A22="","",COUNTIF(C22:L22,"Yes"))</f>
        <v/>
      </c>
      <c r="R22" s="14">
        <f>IF(A22="","",COUNTIF(C22:L22,"Partial"))</f>
        <v/>
      </c>
      <c r="S22" s="15">
        <f>IF(A22="","",Q22/10)</f>
        <v/>
      </c>
      <c r="T22" s="14">
        <f>IF(A22="","",COUNTIF(M22:P22,"Yes"))</f>
        <v/>
      </c>
    </row>
    <row r="23">
      <c r="A23" s="12">
        <f>IF(Classes!B23="","",Classes!B23)</f>
        <v/>
      </c>
      <c r="B23" s="12">
        <f>IF(Classes!B23="","",IF(Classes!C23="","",Classes!C23))</f>
        <v/>
      </c>
      <c r="C23" s="13" t="n"/>
      <c r="D23" s="13" t="n"/>
      <c r="E23" s="13" t="n"/>
      <c r="F23" s="13" t="n"/>
      <c r="G23" s="13" t="n"/>
      <c r="H23" s="13" t="n"/>
      <c r="I23" s="13" t="n"/>
      <c r="J23" s="13" t="n"/>
      <c r="K23" s="13" t="n"/>
      <c r="L23" s="13" t="n"/>
      <c r="M23" s="13" t="n"/>
      <c r="N23" s="13" t="n"/>
      <c r="O23" s="13" t="n"/>
      <c r="P23" s="13" t="n"/>
      <c r="Q23" s="14">
        <f>IF(A23="","",COUNTIF(C23:L23,"Yes"))</f>
        <v/>
      </c>
      <c r="R23" s="14">
        <f>IF(A23="","",COUNTIF(C23:L23,"Partial"))</f>
        <v/>
      </c>
      <c r="S23" s="15">
        <f>IF(A23="","",Q23/10)</f>
        <v/>
      </c>
      <c r="T23" s="14">
        <f>IF(A23="","",COUNTIF(M23:P23,"Yes"))</f>
        <v/>
      </c>
    </row>
    <row r="24">
      <c r="A24" s="12">
        <f>IF(Classes!B24="","",Classes!B24)</f>
        <v/>
      </c>
      <c r="B24" s="12">
        <f>IF(Classes!B24="","",IF(Classes!C24="","",Classes!C24))</f>
        <v/>
      </c>
      <c r="C24" s="13" t="n"/>
      <c r="D24" s="13" t="n"/>
      <c r="E24" s="13" t="n"/>
      <c r="F24" s="13" t="n"/>
      <c r="G24" s="13" t="n"/>
      <c r="H24" s="13" t="n"/>
      <c r="I24" s="13" t="n"/>
      <c r="J24" s="13" t="n"/>
      <c r="K24" s="13" t="n"/>
      <c r="L24" s="13" t="n"/>
      <c r="M24" s="13" t="n"/>
      <c r="N24" s="13" t="n"/>
      <c r="O24" s="13" t="n"/>
      <c r="P24" s="13" t="n"/>
      <c r="Q24" s="14">
        <f>IF(A24="","",COUNTIF(C24:L24,"Yes"))</f>
        <v/>
      </c>
      <c r="R24" s="14">
        <f>IF(A24="","",COUNTIF(C24:L24,"Partial"))</f>
        <v/>
      </c>
      <c r="S24" s="15">
        <f>IF(A24="","",Q24/10)</f>
        <v/>
      </c>
      <c r="T24" s="14">
        <f>IF(A24="","",COUNTIF(M24:P24,"Yes"))</f>
        <v/>
      </c>
    </row>
    <row r="25">
      <c r="A25" s="12">
        <f>IF(Classes!B25="","",Classes!B25)</f>
        <v/>
      </c>
      <c r="B25" s="12">
        <f>IF(Classes!B25="","",IF(Classes!C25="","",Classes!C25))</f>
        <v/>
      </c>
      <c r="C25" s="13" t="n"/>
      <c r="D25" s="13" t="n"/>
      <c r="E25" s="13" t="n"/>
      <c r="F25" s="13" t="n"/>
      <c r="G25" s="13" t="n"/>
      <c r="H25" s="13" t="n"/>
      <c r="I25" s="13" t="n"/>
      <c r="J25" s="13" t="n"/>
      <c r="K25" s="13" t="n"/>
      <c r="L25" s="13" t="n"/>
      <c r="M25" s="13" t="n"/>
      <c r="N25" s="13" t="n"/>
      <c r="O25" s="13" t="n"/>
      <c r="P25" s="13" t="n"/>
      <c r="Q25" s="14">
        <f>IF(A25="","",COUNTIF(C25:L25,"Yes"))</f>
        <v/>
      </c>
      <c r="R25" s="14">
        <f>IF(A25="","",COUNTIF(C25:L25,"Partial"))</f>
        <v/>
      </c>
      <c r="S25" s="15">
        <f>IF(A25="","",Q25/10)</f>
        <v/>
      </c>
      <c r="T25" s="14">
        <f>IF(A25="","",COUNTIF(M25:P25,"Yes"))</f>
        <v/>
      </c>
    </row>
    <row r="26">
      <c r="A26" s="12">
        <f>IF(Classes!B26="","",Classes!B26)</f>
        <v/>
      </c>
      <c r="B26" s="12">
        <f>IF(Classes!B26="","",IF(Classes!C26="","",Classes!C26))</f>
        <v/>
      </c>
      <c r="C26" s="13" t="n"/>
      <c r="D26" s="13" t="n"/>
      <c r="E26" s="13" t="n"/>
      <c r="F26" s="13" t="n"/>
      <c r="G26" s="13" t="n"/>
      <c r="H26" s="13" t="n"/>
      <c r="I26" s="13" t="n"/>
      <c r="J26" s="13" t="n"/>
      <c r="K26" s="13" t="n"/>
      <c r="L26" s="13" t="n"/>
      <c r="M26" s="13" t="n"/>
      <c r="N26" s="13" t="n"/>
      <c r="O26" s="13" t="n"/>
      <c r="P26" s="13" t="n"/>
      <c r="Q26" s="14">
        <f>IF(A26="","",COUNTIF(C26:L26,"Yes"))</f>
        <v/>
      </c>
      <c r="R26" s="14">
        <f>IF(A26="","",COUNTIF(C26:L26,"Partial"))</f>
        <v/>
      </c>
      <c r="S26" s="15">
        <f>IF(A26="","",Q26/10)</f>
        <v/>
      </c>
      <c r="T26" s="14">
        <f>IF(A26="","",COUNTIF(M26:P26,"Yes"))</f>
        <v/>
      </c>
    </row>
    <row r="27">
      <c r="A27" s="12">
        <f>IF(Classes!B27="","",Classes!B27)</f>
        <v/>
      </c>
      <c r="B27" s="12">
        <f>IF(Classes!B27="","",IF(Classes!C27="","",Classes!C27))</f>
        <v/>
      </c>
      <c r="C27" s="13" t="n"/>
      <c r="D27" s="13" t="n"/>
      <c r="E27" s="13" t="n"/>
      <c r="F27" s="13" t="n"/>
      <c r="G27" s="13" t="n"/>
      <c r="H27" s="13" t="n"/>
      <c r="I27" s="13" t="n"/>
      <c r="J27" s="13" t="n"/>
      <c r="K27" s="13" t="n"/>
      <c r="L27" s="13" t="n"/>
      <c r="M27" s="13" t="n"/>
      <c r="N27" s="13" t="n"/>
      <c r="O27" s="13" t="n"/>
      <c r="P27" s="13" t="n"/>
      <c r="Q27" s="14">
        <f>IF(A27="","",COUNTIF(C27:L27,"Yes"))</f>
        <v/>
      </c>
      <c r="R27" s="14">
        <f>IF(A27="","",COUNTIF(C27:L27,"Partial"))</f>
        <v/>
      </c>
      <c r="S27" s="15">
        <f>IF(A27="","",Q27/10)</f>
        <v/>
      </c>
      <c r="T27" s="14">
        <f>IF(A27="","",COUNTIF(M27:P27,"Yes"))</f>
        <v/>
      </c>
    </row>
    <row r="28">
      <c r="A28" s="12">
        <f>IF(Classes!B28="","",Classes!B28)</f>
        <v/>
      </c>
      <c r="B28" s="12">
        <f>IF(Classes!B28="","",IF(Classes!C28="","",Classes!C28))</f>
        <v/>
      </c>
      <c r="C28" s="13" t="n"/>
      <c r="D28" s="13" t="n"/>
      <c r="E28" s="13" t="n"/>
      <c r="F28" s="13" t="n"/>
      <c r="G28" s="13" t="n"/>
      <c r="H28" s="13" t="n"/>
      <c r="I28" s="13" t="n"/>
      <c r="J28" s="13" t="n"/>
      <c r="K28" s="13" t="n"/>
      <c r="L28" s="13" t="n"/>
      <c r="M28" s="13" t="n"/>
      <c r="N28" s="13" t="n"/>
      <c r="O28" s="13" t="n"/>
      <c r="P28" s="13" t="n"/>
      <c r="Q28" s="14">
        <f>IF(A28="","",COUNTIF(C28:L28,"Yes"))</f>
        <v/>
      </c>
      <c r="R28" s="14">
        <f>IF(A28="","",COUNTIF(C28:L28,"Partial"))</f>
        <v/>
      </c>
      <c r="S28" s="15">
        <f>IF(A28="","",Q28/10)</f>
        <v/>
      </c>
      <c r="T28" s="14">
        <f>IF(A28="","",COUNTIF(M28:P28,"Yes"))</f>
        <v/>
      </c>
    </row>
    <row r="29">
      <c r="A29" s="12">
        <f>IF(Classes!B29="","",Classes!B29)</f>
        <v/>
      </c>
      <c r="B29" s="12">
        <f>IF(Classes!B29="","",IF(Classes!C29="","",Classes!C29))</f>
        <v/>
      </c>
      <c r="C29" s="13" t="n"/>
      <c r="D29" s="13" t="n"/>
      <c r="E29" s="13" t="n"/>
      <c r="F29" s="13" t="n"/>
      <c r="G29" s="13" t="n"/>
      <c r="H29" s="13" t="n"/>
      <c r="I29" s="13" t="n"/>
      <c r="J29" s="13" t="n"/>
      <c r="K29" s="13" t="n"/>
      <c r="L29" s="13" t="n"/>
      <c r="M29" s="13" t="n"/>
      <c r="N29" s="13" t="n"/>
      <c r="O29" s="13" t="n"/>
      <c r="P29" s="13" t="n"/>
      <c r="Q29" s="14">
        <f>IF(A29="","",COUNTIF(C29:L29,"Yes"))</f>
        <v/>
      </c>
      <c r="R29" s="14">
        <f>IF(A29="","",COUNTIF(C29:L29,"Partial"))</f>
        <v/>
      </c>
      <c r="S29" s="15">
        <f>IF(A29="","",Q29/10)</f>
        <v/>
      </c>
      <c r="T29" s="14">
        <f>IF(A29="","",COUNTIF(M29:P29,"Yes"))</f>
        <v/>
      </c>
    </row>
    <row r="30">
      <c r="A30" s="12">
        <f>IF(Classes!B30="","",Classes!B30)</f>
        <v/>
      </c>
      <c r="B30" s="12">
        <f>IF(Classes!B30="","",IF(Classes!C30="","",Classes!C30))</f>
        <v/>
      </c>
      <c r="C30" s="13" t="n"/>
      <c r="D30" s="13" t="n"/>
      <c r="E30" s="13" t="n"/>
      <c r="F30" s="13" t="n"/>
      <c r="G30" s="13" t="n"/>
      <c r="H30" s="13" t="n"/>
      <c r="I30" s="13" t="n"/>
      <c r="J30" s="13" t="n"/>
      <c r="K30" s="13" t="n"/>
      <c r="L30" s="13" t="n"/>
      <c r="M30" s="13" t="n"/>
      <c r="N30" s="13" t="n"/>
      <c r="O30" s="13" t="n"/>
      <c r="P30" s="13" t="n"/>
      <c r="Q30" s="14">
        <f>IF(A30="","",COUNTIF(C30:L30,"Yes"))</f>
        <v/>
      </c>
      <c r="R30" s="14">
        <f>IF(A30="","",COUNTIF(C30:L30,"Partial"))</f>
        <v/>
      </c>
      <c r="S30" s="15">
        <f>IF(A30="","",Q30/10)</f>
        <v/>
      </c>
      <c r="T30" s="14">
        <f>IF(A30="","",COUNTIF(M30:P30,"Yes"))</f>
        <v/>
      </c>
    </row>
    <row r="31">
      <c r="A31" s="12">
        <f>IF(Classes!B31="","",Classes!B31)</f>
        <v/>
      </c>
      <c r="B31" s="12">
        <f>IF(Classes!B31="","",IF(Classes!C31="","",Classes!C31))</f>
        <v/>
      </c>
      <c r="C31" s="13" t="n"/>
      <c r="D31" s="13" t="n"/>
      <c r="E31" s="13" t="n"/>
      <c r="F31" s="13" t="n"/>
      <c r="G31" s="13" t="n"/>
      <c r="H31" s="13" t="n"/>
      <c r="I31" s="13" t="n"/>
      <c r="J31" s="13" t="n"/>
      <c r="K31" s="13" t="n"/>
      <c r="L31" s="13" t="n"/>
      <c r="M31" s="13" t="n"/>
      <c r="N31" s="13" t="n"/>
      <c r="O31" s="13" t="n"/>
      <c r="P31" s="13" t="n"/>
      <c r="Q31" s="14">
        <f>IF(A31="","",COUNTIF(C31:L31,"Yes"))</f>
        <v/>
      </c>
      <c r="R31" s="14">
        <f>IF(A31="","",COUNTIF(C31:L31,"Partial"))</f>
        <v/>
      </c>
      <c r="S31" s="15">
        <f>IF(A31="","",Q31/10)</f>
        <v/>
      </c>
      <c r="T31" s="14">
        <f>IF(A31="","",COUNTIF(M31:P31,"Yes"))</f>
        <v/>
      </c>
    </row>
    <row r="32">
      <c r="A32" s="12">
        <f>IF(Classes!B32="","",Classes!B32)</f>
        <v/>
      </c>
      <c r="B32" s="12">
        <f>IF(Classes!B32="","",IF(Classes!C32="","",Classes!C32))</f>
        <v/>
      </c>
      <c r="C32" s="13" t="n"/>
      <c r="D32" s="13" t="n"/>
      <c r="E32" s="13" t="n"/>
      <c r="F32" s="13" t="n"/>
      <c r="G32" s="13" t="n"/>
      <c r="H32" s="13" t="n"/>
      <c r="I32" s="13" t="n"/>
      <c r="J32" s="13" t="n"/>
      <c r="K32" s="13" t="n"/>
      <c r="L32" s="13" t="n"/>
      <c r="M32" s="13" t="n"/>
      <c r="N32" s="13" t="n"/>
      <c r="O32" s="13" t="n"/>
      <c r="P32" s="13" t="n"/>
      <c r="Q32" s="14">
        <f>IF(A32="","",COUNTIF(C32:L32,"Yes"))</f>
        <v/>
      </c>
      <c r="R32" s="14">
        <f>IF(A32="","",COUNTIF(C32:L32,"Partial"))</f>
        <v/>
      </c>
      <c r="S32" s="15">
        <f>IF(A32="","",Q32/10)</f>
        <v/>
      </c>
      <c r="T32" s="14">
        <f>IF(A32="","",COUNTIF(M32:P32,"Yes"))</f>
        <v/>
      </c>
    </row>
    <row r="33">
      <c r="A33" s="12">
        <f>IF(Classes!B33="","",Classes!B33)</f>
        <v/>
      </c>
      <c r="B33" s="12">
        <f>IF(Classes!B33="","",IF(Classes!C33="","",Classes!C33))</f>
        <v/>
      </c>
      <c r="C33" s="13" t="n"/>
      <c r="D33" s="13" t="n"/>
      <c r="E33" s="13" t="n"/>
      <c r="F33" s="13" t="n"/>
      <c r="G33" s="13" t="n"/>
      <c r="H33" s="13" t="n"/>
      <c r="I33" s="13" t="n"/>
      <c r="J33" s="13" t="n"/>
      <c r="K33" s="13" t="n"/>
      <c r="L33" s="13" t="n"/>
      <c r="M33" s="13" t="n"/>
      <c r="N33" s="13" t="n"/>
      <c r="O33" s="13" t="n"/>
      <c r="P33" s="13" t="n"/>
      <c r="Q33" s="14">
        <f>IF(A33="","",COUNTIF(C33:L33,"Yes"))</f>
        <v/>
      </c>
      <c r="R33" s="14">
        <f>IF(A33="","",COUNTIF(C33:L33,"Partial"))</f>
        <v/>
      </c>
      <c r="S33" s="15">
        <f>IF(A33="","",Q33/10)</f>
        <v/>
      </c>
      <c r="T33" s="14">
        <f>IF(A33="","",COUNTIF(M33:P33,"Yes"))</f>
        <v/>
      </c>
    </row>
    <row r="34">
      <c r="A34" s="12">
        <f>IF(Classes!B34="","",Classes!B34)</f>
        <v/>
      </c>
      <c r="B34" s="12">
        <f>IF(Classes!B34="","",IF(Classes!C34="","",Classes!C34))</f>
        <v/>
      </c>
      <c r="C34" s="13" t="n"/>
      <c r="D34" s="13" t="n"/>
      <c r="E34" s="13" t="n"/>
      <c r="F34" s="13" t="n"/>
      <c r="G34" s="13" t="n"/>
      <c r="H34" s="13" t="n"/>
      <c r="I34" s="13" t="n"/>
      <c r="J34" s="13" t="n"/>
      <c r="K34" s="13" t="n"/>
      <c r="L34" s="13" t="n"/>
      <c r="M34" s="13" t="n"/>
      <c r="N34" s="13" t="n"/>
      <c r="O34" s="13" t="n"/>
      <c r="P34" s="13" t="n"/>
      <c r="Q34" s="14">
        <f>IF(A34="","",COUNTIF(C34:L34,"Yes"))</f>
        <v/>
      </c>
      <c r="R34" s="14">
        <f>IF(A34="","",COUNTIF(C34:L34,"Partial"))</f>
        <v/>
      </c>
      <c r="S34" s="15">
        <f>IF(A34="","",Q34/10)</f>
        <v/>
      </c>
      <c r="T34" s="14">
        <f>IF(A34="","",COUNTIF(M34:P34,"Yes"))</f>
        <v/>
      </c>
    </row>
    <row r="35">
      <c r="A35" s="12">
        <f>IF(Classes!B35="","",Classes!B35)</f>
        <v/>
      </c>
      <c r="B35" s="12">
        <f>IF(Classes!B35="","",IF(Classes!C35="","",Classes!C35))</f>
        <v/>
      </c>
      <c r="C35" s="13" t="n"/>
      <c r="D35" s="13" t="n"/>
      <c r="E35" s="13" t="n"/>
      <c r="F35" s="13" t="n"/>
      <c r="G35" s="13" t="n"/>
      <c r="H35" s="13" t="n"/>
      <c r="I35" s="13" t="n"/>
      <c r="J35" s="13" t="n"/>
      <c r="K35" s="13" t="n"/>
      <c r="L35" s="13" t="n"/>
      <c r="M35" s="13" t="n"/>
      <c r="N35" s="13" t="n"/>
      <c r="O35" s="13" t="n"/>
      <c r="P35" s="13" t="n"/>
      <c r="Q35" s="14">
        <f>IF(A35="","",COUNTIF(C35:L35,"Yes"))</f>
        <v/>
      </c>
      <c r="R35" s="14">
        <f>IF(A35="","",COUNTIF(C35:L35,"Partial"))</f>
        <v/>
      </c>
      <c r="S35" s="15">
        <f>IF(A35="","",Q35/10)</f>
        <v/>
      </c>
      <c r="T35" s="14">
        <f>IF(A35="","",COUNTIF(M35:P35,"Yes"))</f>
        <v/>
      </c>
    </row>
    <row r="36">
      <c r="A36" s="12">
        <f>IF(Classes!B36="","",Classes!B36)</f>
        <v/>
      </c>
      <c r="B36" s="12">
        <f>IF(Classes!B36="","",IF(Classes!C36="","",Classes!C36))</f>
        <v/>
      </c>
      <c r="C36" s="13" t="n"/>
      <c r="D36" s="13" t="n"/>
      <c r="E36" s="13" t="n"/>
      <c r="F36" s="13" t="n"/>
      <c r="G36" s="13" t="n"/>
      <c r="H36" s="13" t="n"/>
      <c r="I36" s="13" t="n"/>
      <c r="J36" s="13" t="n"/>
      <c r="K36" s="13" t="n"/>
      <c r="L36" s="13" t="n"/>
      <c r="M36" s="13" t="n"/>
      <c r="N36" s="13" t="n"/>
      <c r="O36" s="13" t="n"/>
      <c r="P36" s="13" t="n"/>
      <c r="Q36" s="14">
        <f>IF(A36="","",COUNTIF(C36:L36,"Yes"))</f>
        <v/>
      </c>
      <c r="R36" s="14">
        <f>IF(A36="","",COUNTIF(C36:L36,"Partial"))</f>
        <v/>
      </c>
      <c r="S36" s="15">
        <f>IF(A36="","",Q36/10)</f>
        <v/>
      </c>
      <c r="T36" s="14">
        <f>IF(A36="","",COUNTIF(M36:P36,"Yes"))</f>
        <v/>
      </c>
    </row>
    <row r="37">
      <c r="A37" s="12">
        <f>IF(Classes!B37="","",Classes!B37)</f>
        <v/>
      </c>
      <c r="B37" s="12">
        <f>IF(Classes!B37="","",IF(Classes!C37="","",Classes!C37))</f>
        <v/>
      </c>
      <c r="C37" s="13" t="n"/>
      <c r="D37" s="13" t="n"/>
      <c r="E37" s="13" t="n"/>
      <c r="F37" s="13" t="n"/>
      <c r="G37" s="13" t="n"/>
      <c r="H37" s="13" t="n"/>
      <c r="I37" s="13" t="n"/>
      <c r="J37" s="13" t="n"/>
      <c r="K37" s="13" t="n"/>
      <c r="L37" s="13" t="n"/>
      <c r="M37" s="13" t="n"/>
      <c r="N37" s="13" t="n"/>
      <c r="O37" s="13" t="n"/>
      <c r="P37" s="13" t="n"/>
      <c r="Q37" s="14">
        <f>IF(A37="","",COUNTIF(C37:L37,"Yes"))</f>
        <v/>
      </c>
      <c r="R37" s="14">
        <f>IF(A37="","",COUNTIF(C37:L37,"Partial"))</f>
        <v/>
      </c>
      <c r="S37" s="15">
        <f>IF(A37="","",Q37/10)</f>
        <v/>
      </c>
      <c r="T37" s="14">
        <f>IF(A37="","",COUNTIF(M37:P37,"Yes"))</f>
        <v/>
      </c>
    </row>
    <row r="38">
      <c r="A38" s="12">
        <f>IF(Classes!B38="","",Classes!B38)</f>
        <v/>
      </c>
      <c r="B38" s="12">
        <f>IF(Classes!B38="","",IF(Classes!C38="","",Classes!C38))</f>
        <v/>
      </c>
      <c r="C38" s="13" t="n"/>
      <c r="D38" s="13" t="n"/>
      <c r="E38" s="13" t="n"/>
      <c r="F38" s="13" t="n"/>
      <c r="G38" s="13" t="n"/>
      <c r="H38" s="13" t="n"/>
      <c r="I38" s="13" t="n"/>
      <c r="J38" s="13" t="n"/>
      <c r="K38" s="13" t="n"/>
      <c r="L38" s="13" t="n"/>
      <c r="M38" s="13" t="n"/>
      <c r="N38" s="13" t="n"/>
      <c r="O38" s="13" t="n"/>
      <c r="P38" s="13" t="n"/>
      <c r="Q38" s="14">
        <f>IF(A38="","",COUNTIF(C38:L38,"Yes"))</f>
        <v/>
      </c>
      <c r="R38" s="14">
        <f>IF(A38="","",COUNTIF(C38:L38,"Partial"))</f>
        <v/>
      </c>
      <c r="S38" s="15">
        <f>IF(A38="","",Q38/10)</f>
        <v/>
      </c>
      <c r="T38" s="14">
        <f>IF(A38="","",COUNTIF(M38:P38,"Yes"))</f>
        <v/>
      </c>
    </row>
    <row r="39">
      <c r="A39" s="12">
        <f>IF(Classes!B39="","",Classes!B39)</f>
        <v/>
      </c>
      <c r="B39" s="12">
        <f>IF(Classes!B39="","",IF(Classes!C39="","",Classes!C39))</f>
        <v/>
      </c>
      <c r="C39" s="13" t="n"/>
      <c r="D39" s="13" t="n"/>
      <c r="E39" s="13" t="n"/>
      <c r="F39" s="13" t="n"/>
      <c r="G39" s="13" t="n"/>
      <c r="H39" s="13" t="n"/>
      <c r="I39" s="13" t="n"/>
      <c r="J39" s="13" t="n"/>
      <c r="K39" s="13" t="n"/>
      <c r="L39" s="13" t="n"/>
      <c r="M39" s="13" t="n"/>
      <c r="N39" s="13" t="n"/>
      <c r="O39" s="13" t="n"/>
      <c r="P39" s="13" t="n"/>
      <c r="Q39" s="14">
        <f>IF(A39="","",COUNTIF(C39:L39,"Yes"))</f>
        <v/>
      </c>
      <c r="R39" s="14">
        <f>IF(A39="","",COUNTIF(C39:L39,"Partial"))</f>
        <v/>
      </c>
      <c r="S39" s="15">
        <f>IF(A39="","",Q39/10)</f>
        <v/>
      </c>
      <c r="T39" s="14">
        <f>IF(A39="","",COUNTIF(M39:P39,"Yes"))</f>
        <v/>
      </c>
    </row>
    <row r="40">
      <c r="A40" s="12">
        <f>IF(Classes!B40="","",Classes!B40)</f>
        <v/>
      </c>
      <c r="B40" s="12">
        <f>IF(Classes!B40="","",IF(Classes!C40="","",Classes!C40))</f>
        <v/>
      </c>
      <c r="C40" s="13" t="n"/>
      <c r="D40" s="13" t="n"/>
      <c r="E40" s="13" t="n"/>
      <c r="F40" s="13" t="n"/>
      <c r="G40" s="13" t="n"/>
      <c r="H40" s="13" t="n"/>
      <c r="I40" s="13" t="n"/>
      <c r="J40" s="13" t="n"/>
      <c r="K40" s="13" t="n"/>
      <c r="L40" s="13" t="n"/>
      <c r="M40" s="13" t="n"/>
      <c r="N40" s="13" t="n"/>
      <c r="O40" s="13" t="n"/>
      <c r="P40" s="13" t="n"/>
      <c r="Q40" s="14">
        <f>IF(A40="","",COUNTIF(C40:L40,"Yes"))</f>
        <v/>
      </c>
      <c r="R40" s="14">
        <f>IF(A40="","",COUNTIF(C40:L40,"Partial"))</f>
        <v/>
      </c>
      <c r="S40" s="15">
        <f>IF(A40="","",Q40/10)</f>
        <v/>
      </c>
      <c r="T40" s="14">
        <f>IF(A40="","",COUNTIF(M40:P40,"Yes"))</f>
        <v/>
      </c>
    </row>
    <row r="41">
      <c r="A41" s="12">
        <f>IF(Classes!B41="","",Classes!B41)</f>
        <v/>
      </c>
      <c r="B41" s="12">
        <f>IF(Classes!B41="","",IF(Classes!C41="","",Classes!C41))</f>
        <v/>
      </c>
      <c r="C41" s="13" t="n"/>
      <c r="D41" s="13" t="n"/>
      <c r="E41" s="13" t="n"/>
      <c r="F41" s="13" t="n"/>
      <c r="G41" s="13" t="n"/>
      <c r="H41" s="13" t="n"/>
      <c r="I41" s="13" t="n"/>
      <c r="J41" s="13" t="n"/>
      <c r="K41" s="13" t="n"/>
      <c r="L41" s="13" t="n"/>
      <c r="M41" s="13" t="n"/>
      <c r="N41" s="13" t="n"/>
      <c r="O41" s="13" t="n"/>
      <c r="P41" s="13" t="n"/>
      <c r="Q41" s="14">
        <f>IF(A41="","",COUNTIF(C41:L41,"Yes"))</f>
        <v/>
      </c>
      <c r="R41" s="14">
        <f>IF(A41="","",COUNTIF(C41:L41,"Partial"))</f>
        <v/>
      </c>
      <c r="S41" s="15">
        <f>IF(A41="","",Q41/10)</f>
        <v/>
      </c>
      <c r="T41" s="14">
        <f>IF(A41="","",COUNTIF(M41:P41,"Yes"))</f>
        <v/>
      </c>
    </row>
    <row r="42">
      <c r="A42" s="12">
        <f>IF(Classes!B42="","",Classes!B42)</f>
        <v/>
      </c>
      <c r="B42" s="12">
        <f>IF(Classes!B42="","",IF(Classes!C42="","",Classes!C42))</f>
        <v/>
      </c>
      <c r="C42" s="13" t="n"/>
      <c r="D42" s="13" t="n"/>
      <c r="E42" s="13" t="n"/>
      <c r="F42" s="13" t="n"/>
      <c r="G42" s="13" t="n"/>
      <c r="H42" s="13" t="n"/>
      <c r="I42" s="13" t="n"/>
      <c r="J42" s="13" t="n"/>
      <c r="K42" s="13" t="n"/>
      <c r="L42" s="13" t="n"/>
      <c r="M42" s="13" t="n"/>
      <c r="N42" s="13" t="n"/>
      <c r="O42" s="13" t="n"/>
      <c r="P42" s="13" t="n"/>
      <c r="Q42" s="14">
        <f>IF(A42="","",COUNTIF(C42:L42,"Yes"))</f>
        <v/>
      </c>
      <c r="R42" s="14">
        <f>IF(A42="","",COUNTIF(C42:L42,"Partial"))</f>
        <v/>
      </c>
      <c r="S42" s="15">
        <f>IF(A42="","",Q42/10)</f>
        <v/>
      </c>
      <c r="T42" s="14">
        <f>IF(A42="","",COUNTIF(M42:P42,"Yes"))</f>
        <v/>
      </c>
    </row>
    <row r="43">
      <c r="A43" s="12">
        <f>IF(Classes!B43="","",Classes!B43)</f>
        <v/>
      </c>
      <c r="B43" s="12">
        <f>IF(Classes!B43="","",IF(Classes!C43="","",Classes!C43))</f>
        <v/>
      </c>
      <c r="C43" s="13" t="n"/>
      <c r="D43" s="13" t="n"/>
      <c r="E43" s="13" t="n"/>
      <c r="F43" s="13" t="n"/>
      <c r="G43" s="13" t="n"/>
      <c r="H43" s="13" t="n"/>
      <c r="I43" s="13" t="n"/>
      <c r="J43" s="13" t="n"/>
      <c r="K43" s="13" t="n"/>
      <c r="L43" s="13" t="n"/>
      <c r="M43" s="13" t="n"/>
      <c r="N43" s="13" t="n"/>
      <c r="O43" s="13" t="n"/>
      <c r="P43" s="13" t="n"/>
      <c r="Q43" s="14">
        <f>IF(A43="","",COUNTIF(C43:L43,"Yes"))</f>
        <v/>
      </c>
      <c r="R43" s="14">
        <f>IF(A43="","",COUNTIF(C43:L43,"Partial"))</f>
        <v/>
      </c>
      <c r="S43" s="15">
        <f>IF(A43="","",Q43/10)</f>
        <v/>
      </c>
      <c r="T43" s="14">
        <f>IF(A43="","",COUNTIF(M43:P43,"Yes"))</f>
        <v/>
      </c>
    </row>
    <row r="44">
      <c r="A44" s="12">
        <f>IF(Classes!B44="","",Classes!B44)</f>
        <v/>
      </c>
      <c r="B44" s="12">
        <f>IF(Classes!B44="","",IF(Classes!C44="","",Classes!C44))</f>
        <v/>
      </c>
      <c r="C44" s="13" t="n"/>
      <c r="D44" s="13" t="n"/>
      <c r="E44" s="13" t="n"/>
      <c r="F44" s="13" t="n"/>
      <c r="G44" s="13" t="n"/>
      <c r="H44" s="13" t="n"/>
      <c r="I44" s="13" t="n"/>
      <c r="J44" s="13" t="n"/>
      <c r="K44" s="13" t="n"/>
      <c r="L44" s="13" t="n"/>
      <c r="M44" s="13" t="n"/>
      <c r="N44" s="13" t="n"/>
      <c r="O44" s="13" t="n"/>
      <c r="P44" s="13" t="n"/>
      <c r="Q44" s="14">
        <f>IF(A44="","",COUNTIF(C44:L44,"Yes"))</f>
        <v/>
      </c>
      <c r="R44" s="14">
        <f>IF(A44="","",COUNTIF(C44:L44,"Partial"))</f>
        <v/>
      </c>
      <c r="S44" s="15">
        <f>IF(A44="","",Q44/10)</f>
        <v/>
      </c>
      <c r="T44" s="14">
        <f>IF(A44="","",COUNTIF(M44:P44,"Yes"))</f>
        <v/>
      </c>
    </row>
    <row r="45">
      <c r="A45" s="12">
        <f>IF(Classes!B45="","",Classes!B45)</f>
        <v/>
      </c>
      <c r="B45" s="12">
        <f>IF(Classes!B45="","",IF(Classes!C45="","",Classes!C45))</f>
        <v/>
      </c>
      <c r="C45" s="13" t="n"/>
      <c r="D45" s="13" t="n"/>
      <c r="E45" s="13" t="n"/>
      <c r="F45" s="13" t="n"/>
      <c r="G45" s="13" t="n"/>
      <c r="H45" s="13" t="n"/>
      <c r="I45" s="13" t="n"/>
      <c r="J45" s="13" t="n"/>
      <c r="K45" s="13" t="n"/>
      <c r="L45" s="13" t="n"/>
      <c r="M45" s="13" t="n"/>
      <c r="N45" s="13" t="n"/>
      <c r="O45" s="13" t="n"/>
      <c r="P45" s="13" t="n"/>
      <c r="Q45" s="14">
        <f>IF(A45="","",COUNTIF(C45:L45,"Yes"))</f>
        <v/>
      </c>
      <c r="R45" s="14">
        <f>IF(A45="","",COUNTIF(C45:L45,"Partial"))</f>
        <v/>
      </c>
      <c r="S45" s="15">
        <f>IF(A45="","",Q45/10)</f>
        <v/>
      </c>
      <c r="T45" s="14">
        <f>IF(A45="","",COUNTIF(M45:P45,"Yes"))</f>
        <v/>
      </c>
    </row>
  </sheetData>
  <sheetProtection selectLockedCells="0" selectUnlockedCells="0" sheet="1" objects="0" insertRows="1" insertHyperlinks="1" autoFilter="0" scenarios="0" formatColumns="0" deleteColumns="1" insertColumns="1" pivotTables="1" deleteRows="1" formatCells="1" formatRows="0" sort="0"/>
  <mergeCells count="2">
    <mergeCell ref="A3:T3"/>
    <mergeCell ref="A2:T2"/>
  </mergeCells>
  <conditionalFormatting sqref="C6:P45">
    <cfRule type="cellIs" priority="1" operator="equal" dxfId="1">
      <formula>"Yes"</formula>
    </cfRule>
    <cfRule type="cellIs" priority="2" operator="equal" dxfId="2">
      <formula>"Partial"</formula>
    </cfRule>
    <cfRule type="cellIs" priority="3" operator="equal" dxfId="3">
      <formula>"Not yet"</formula>
    </cfRule>
  </conditionalFormatting>
  <conditionalFormatting sqref="C6:L45">
    <cfRule type="expression" priority="4" dxfId="4">
      <formula>AND(C6="",$B6&lt;&gt;"",INDEX(Lists!$B$26:$K$29,MATCH($B6,Lists!$A$26:$A$29,0),COLUMN()-2)=1)</formula>
    </cfRule>
  </conditionalFormatting>
  <conditionalFormatting sqref="M6:P45">
    <cfRule type="expression" priority="5" dxfId="5">
      <formula>OR($B6="Gr K-2",$B6="Gr 3-5")</formula>
    </cfRule>
  </conditionalFormatting>
  <conditionalFormatting sqref="S6:S45">
    <cfRule type="colorScale" priority="6">
      <colorScale>
        <cfvo type="num" val="0"/>
        <cfvo type="num" val="1"/>
        <color rgb="00F2EEE4"/>
        <color rgb="008FCB9B"/>
      </colorScale>
    </cfRule>
  </conditionalFormatting>
  <dataValidations count="1">
    <dataValidation sqref="C6:P45" showDropDown="0" showInputMessage="1" showErrorMessage="1" allowBlank="1" errorTitle="Check this entry" error="Choose from the list." promptTitle="Lesson status" prompt="Yes, Partial or Not yet." type="list" errorStyle="stop">
      <formula1>Lists!$C$6:$C$8</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5.xml><?xml version="1.0" encoding="utf-8"?>
<worksheet xmlns="http://schemas.openxmlformats.org/spreadsheetml/2006/main">
  <sheetPr>
    <tabColor rgb="00FF8A3D"/>
    <outlinePr summaryBelow="1" summaryRight="1"/>
    <pageSetUpPr fitToPage="1"/>
  </sheetPr>
  <dimension ref="A1:I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2" customWidth="1" min="3" max="3"/>
    <col width="14" customWidth="1" min="4" max="4"/>
    <col width="18" customWidth="1" min="5" max="5"/>
    <col width="16" customWidth="1" min="6" max="6"/>
    <col width="16" customWidth="1" min="7" max="7"/>
    <col width="12" customWidth="1" min="8" max="8"/>
    <col width="12" customWidth="1" min="9" max="9"/>
  </cols>
  <sheetData>
    <row r="1">
      <c r="A1" s="5" t="inlineStr">
        <is>
          <t>Help Ladder practice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Counts only. A practice session is any class meeting where students practiced the Help Ladder or their first sentence for telling a trusted adult. The rubric columns are optional counts from the Assessment Pack rubric (students scoring 3 or 4 on the Help Ladder skill).</t>
        </is>
      </c>
    </row>
    <row r="5" ht="62" customHeight="1">
      <c r="A5" s="11" t="inlineStr">
        <is>
          <t>Class</t>
        </is>
      </c>
      <c r="B5" s="11" t="inlineStr">
        <is>
          <t>Band</t>
        </is>
      </c>
      <c r="C5" s="11" t="inlineStr">
        <is>
          <t>Students enrolled</t>
        </is>
      </c>
      <c r="D5" s="11" t="inlineStr">
        <is>
          <t>Practice sessions (count)</t>
        </is>
      </c>
      <c r="E5" s="11" t="inlineStr">
        <is>
          <t>Students who practiced the first sentence aloud</t>
        </is>
      </c>
      <c r="F5" s="11" t="inlineStr">
        <is>
          <t>Rubric 3 or 4 early (students, optional)</t>
        </is>
      </c>
      <c r="G5" s="11" t="inlineStr">
        <is>
          <t>Rubric 3 or 4 at end (students, optional)</t>
        </is>
      </c>
      <c r="H5" s="11" t="inlineStr">
        <is>
          <t>% who practiced aloud</t>
        </is>
      </c>
      <c r="I5" s="11" t="inlineStr">
        <is>
          <t>Rubric change (students)</t>
        </is>
      </c>
    </row>
    <row r="6">
      <c r="A6" s="12">
        <f>IF(Classes!B6="","",Classes!B6)</f>
        <v/>
      </c>
      <c r="B6" s="12">
        <f>IF(Classes!B6="","",IF(Classes!C6="","",Classes!C6))</f>
        <v/>
      </c>
      <c r="C6" s="12">
        <f>IF(A6="","",IF(Classes!D6="","",Classes!D6))</f>
        <v/>
      </c>
      <c r="D6" s="8" t="n">
        <v>4</v>
      </c>
      <c r="E6" s="8" t="n">
        <v>18</v>
      </c>
      <c r="F6" s="8" t="n">
        <v>6</v>
      </c>
      <c r="G6" s="8" t="n">
        <v>15</v>
      </c>
      <c r="H6" s="15">
        <f>IF(OR(A6="",C6="",C6=0,E6=""),"",E6/C6)</f>
        <v/>
      </c>
      <c r="I6" s="16">
        <f>IF(OR(A6="",F6="",G6=""),"",G6-F6)</f>
        <v/>
      </c>
    </row>
    <row r="7">
      <c r="A7" s="12">
        <f>IF(Classes!B7="","",Classes!B7)</f>
        <v/>
      </c>
      <c r="B7" s="12">
        <f>IF(Classes!B7="","",IF(Classes!C7="","",Classes!C7))</f>
        <v/>
      </c>
      <c r="C7" s="12">
        <f>IF(A7="","",IF(Classes!D7="","",Classes!D7))</f>
        <v/>
      </c>
      <c r="D7" s="8" t="n">
        <v>3</v>
      </c>
      <c r="E7" s="8" t="n">
        <v>15</v>
      </c>
      <c r="F7" s="8" t="n">
        <v>5</v>
      </c>
      <c r="G7" s="8" t="n">
        <v>12</v>
      </c>
      <c r="H7" s="15">
        <f>IF(OR(A7="",C7="",C7=0,E7=""),"",E7/C7)</f>
        <v/>
      </c>
      <c r="I7" s="16">
        <f>IF(OR(A7="",F7="",G7=""),"",G7-F7)</f>
        <v/>
      </c>
    </row>
    <row r="8">
      <c r="A8" s="12">
        <f>IF(Classes!B8="","",Classes!B8)</f>
        <v/>
      </c>
      <c r="B8" s="12">
        <f>IF(Classes!B8="","",IF(Classes!C8="","",Classes!C8))</f>
        <v/>
      </c>
      <c r="C8" s="12">
        <f>IF(A8="","",IF(Classes!D8="","",Classes!D8))</f>
        <v/>
      </c>
      <c r="D8" s="8" t="n">
        <v>5</v>
      </c>
      <c r="E8" s="8" t="n">
        <v>22</v>
      </c>
      <c r="F8" s="8" t="n">
        <v>8</v>
      </c>
      <c r="G8" s="8" t="n">
        <v>19</v>
      </c>
      <c r="H8" s="15">
        <f>IF(OR(A8="",C8="",C8=0,E8=""),"",E8/C8)</f>
        <v/>
      </c>
      <c r="I8" s="16">
        <f>IF(OR(A8="",F8="",G8=""),"",G8-F8)</f>
        <v/>
      </c>
    </row>
    <row r="9">
      <c r="A9" s="12">
        <f>IF(Classes!B9="","",Classes!B9)</f>
        <v/>
      </c>
      <c r="B9" s="12">
        <f>IF(Classes!B9="","",IF(Classes!C9="","",Classes!C9))</f>
        <v/>
      </c>
      <c r="C9" s="12">
        <f>IF(A9="","",IF(Classes!D9="","",Classes!D9))</f>
        <v/>
      </c>
      <c r="D9" s="8" t="n">
        <v>3</v>
      </c>
      <c r="E9" s="8" t="n">
        <v>17</v>
      </c>
      <c r="F9" s="8" t="n">
        <v>7</v>
      </c>
      <c r="G9" s="8" t="n">
        <v>13</v>
      </c>
      <c r="H9" s="15">
        <f>IF(OR(A9="",C9="",C9=0,E9=""),"",E9/C9)</f>
        <v/>
      </c>
      <c r="I9" s="16">
        <f>IF(OR(A9="",F9="",G9=""),"",G9-F9)</f>
        <v/>
      </c>
    </row>
    <row r="10">
      <c r="A10" s="12">
        <f>IF(Classes!B10="","",Classes!B10)</f>
        <v/>
      </c>
      <c r="B10" s="12">
        <f>IF(Classes!B10="","",IF(Classes!C10="","",Classes!C10))</f>
        <v/>
      </c>
      <c r="C10" s="12">
        <f>IF(A10="","",IF(Classes!D10="","",Classes!D10))</f>
        <v/>
      </c>
      <c r="D10" s="8" t="n">
        <v>6</v>
      </c>
      <c r="E10" s="8" t="n">
        <v>25</v>
      </c>
      <c r="F10" s="8" t="n">
        <v>9</v>
      </c>
      <c r="G10" s="8" t="n">
        <v>21</v>
      </c>
      <c r="H10" s="15">
        <f>IF(OR(A10="",C10="",C10=0,E10=""),"",E10/C10)</f>
        <v/>
      </c>
      <c r="I10" s="16">
        <f>IF(OR(A10="",F10="",G10=""),"",G10-F10)</f>
        <v/>
      </c>
    </row>
    <row r="11">
      <c r="A11" s="12">
        <f>IF(Classes!B11="","",Classes!B11)</f>
        <v/>
      </c>
      <c r="B11" s="12">
        <f>IF(Classes!B11="","",IF(Classes!C11="","",Classes!C11))</f>
        <v/>
      </c>
      <c r="C11" s="12">
        <f>IF(A11="","",IF(Classes!D11="","",Classes!D11))</f>
        <v/>
      </c>
      <c r="D11" s="8" t="n">
        <v>5</v>
      </c>
      <c r="E11" s="8" t="n">
        <v>21</v>
      </c>
      <c r="F11" s="8" t="n">
        <v>8</v>
      </c>
      <c r="G11" s="8" t="n">
        <v>18</v>
      </c>
      <c r="H11" s="15">
        <f>IF(OR(A11="",C11="",C11=0,E11=""),"",E11/C11)</f>
        <v/>
      </c>
      <c r="I11" s="16">
        <f>IF(OR(A11="",F11="",G11=""),"",G11-F11)</f>
        <v/>
      </c>
    </row>
    <row r="12">
      <c r="A12" s="12">
        <f>IF(Classes!B12="","",Classes!B12)</f>
        <v/>
      </c>
      <c r="B12" s="12">
        <f>IF(Classes!B12="","",IF(Classes!C12="","",Classes!C12))</f>
        <v/>
      </c>
      <c r="C12" s="12">
        <f>IF(A12="","",IF(Classes!D12="","",Classes!D12))</f>
        <v/>
      </c>
      <c r="D12" s="8" t="n">
        <v>3</v>
      </c>
      <c r="E12" s="8" t="n">
        <v>7</v>
      </c>
      <c r="F12" s="8" t="n">
        <v>3</v>
      </c>
      <c r="G12" s="8" t="n">
        <v>6</v>
      </c>
      <c r="H12" s="15">
        <f>IF(OR(A12="",C12="",C12=0,E12=""),"",E12/C12)</f>
        <v/>
      </c>
      <c r="I12" s="16">
        <f>IF(OR(A12="",F12="",G12=""),"",G12-F12)</f>
        <v/>
      </c>
    </row>
    <row r="13">
      <c r="A13" s="12">
        <f>IF(Classes!B13="","",Classes!B13)</f>
        <v/>
      </c>
      <c r="B13" s="12">
        <f>IF(Classes!B13="","",IF(Classes!C13="","",Classes!C13))</f>
        <v/>
      </c>
      <c r="C13" s="12">
        <f>IF(A13="","",IF(Classes!D13="","",Classes!D13))</f>
        <v/>
      </c>
      <c r="D13" s="8" t="n"/>
      <c r="E13" s="8" t="n"/>
      <c r="F13" s="8" t="n"/>
      <c r="G13" s="8" t="n"/>
      <c r="H13" s="15">
        <f>IF(OR(A13="",C13="",C13=0,E13=""),"",E13/C13)</f>
        <v/>
      </c>
      <c r="I13" s="16">
        <f>IF(OR(A13="",F13="",G13=""),"",G13-F13)</f>
        <v/>
      </c>
    </row>
    <row r="14">
      <c r="A14" s="12">
        <f>IF(Classes!B14="","",Classes!B14)</f>
        <v/>
      </c>
      <c r="B14" s="12">
        <f>IF(Classes!B14="","",IF(Classes!C14="","",Classes!C14))</f>
        <v/>
      </c>
      <c r="C14" s="12">
        <f>IF(A14="","",IF(Classes!D14="","",Classes!D14))</f>
        <v/>
      </c>
      <c r="D14" s="8" t="n"/>
      <c r="E14" s="8" t="n"/>
      <c r="F14" s="8" t="n"/>
      <c r="G14" s="8" t="n"/>
      <c r="H14" s="15">
        <f>IF(OR(A14="",C14="",C14=0,E14=""),"",E14/C14)</f>
        <v/>
      </c>
      <c r="I14" s="16">
        <f>IF(OR(A14="",F14="",G14=""),"",G14-F14)</f>
        <v/>
      </c>
    </row>
    <row r="15">
      <c r="A15" s="12">
        <f>IF(Classes!B15="","",Classes!B15)</f>
        <v/>
      </c>
      <c r="B15" s="12">
        <f>IF(Classes!B15="","",IF(Classes!C15="","",Classes!C15))</f>
        <v/>
      </c>
      <c r="C15" s="12">
        <f>IF(A15="","",IF(Classes!D15="","",Classes!D15))</f>
        <v/>
      </c>
      <c r="D15" s="8" t="n"/>
      <c r="E15" s="8" t="n"/>
      <c r="F15" s="8" t="n"/>
      <c r="G15" s="8" t="n"/>
      <c r="H15" s="15">
        <f>IF(OR(A15="",C15="",C15=0,E15=""),"",E15/C15)</f>
        <v/>
      </c>
      <c r="I15" s="16">
        <f>IF(OR(A15="",F15="",G15=""),"",G15-F15)</f>
        <v/>
      </c>
    </row>
    <row r="16">
      <c r="A16" s="12">
        <f>IF(Classes!B16="","",Classes!B16)</f>
        <v/>
      </c>
      <c r="B16" s="12">
        <f>IF(Classes!B16="","",IF(Classes!C16="","",Classes!C16))</f>
        <v/>
      </c>
      <c r="C16" s="12">
        <f>IF(A16="","",IF(Classes!D16="","",Classes!D16))</f>
        <v/>
      </c>
      <c r="D16" s="8" t="n"/>
      <c r="E16" s="8" t="n"/>
      <c r="F16" s="8" t="n"/>
      <c r="G16" s="8" t="n"/>
      <c r="H16" s="15">
        <f>IF(OR(A16="",C16="",C16=0,E16=""),"",E16/C16)</f>
        <v/>
      </c>
      <c r="I16" s="16">
        <f>IF(OR(A16="",F16="",G16=""),"",G16-F16)</f>
        <v/>
      </c>
    </row>
    <row r="17">
      <c r="A17" s="12">
        <f>IF(Classes!B17="","",Classes!B17)</f>
        <v/>
      </c>
      <c r="B17" s="12">
        <f>IF(Classes!B17="","",IF(Classes!C17="","",Classes!C17))</f>
        <v/>
      </c>
      <c r="C17" s="12">
        <f>IF(A17="","",IF(Classes!D17="","",Classes!D17))</f>
        <v/>
      </c>
      <c r="D17" s="8" t="n"/>
      <c r="E17" s="8" t="n"/>
      <c r="F17" s="8" t="n"/>
      <c r="G17" s="8" t="n"/>
      <c r="H17" s="15">
        <f>IF(OR(A17="",C17="",C17=0,E17=""),"",E17/C17)</f>
        <v/>
      </c>
      <c r="I17" s="16">
        <f>IF(OR(A17="",F17="",G17=""),"",G17-F17)</f>
        <v/>
      </c>
    </row>
    <row r="18">
      <c r="A18" s="12">
        <f>IF(Classes!B18="","",Classes!B18)</f>
        <v/>
      </c>
      <c r="B18" s="12">
        <f>IF(Classes!B18="","",IF(Classes!C18="","",Classes!C18))</f>
        <v/>
      </c>
      <c r="C18" s="12">
        <f>IF(A18="","",IF(Classes!D18="","",Classes!D18))</f>
        <v/>
      </c>
      <c r="D18" s="8" t="n"/>
      <c r="E18" s="8" t="n"/>
      <c r="F18" s="8" t="n"/>
      <c r="G18" s="8" t="n"/>
      <c r="H18" s="15">
        <f>IF(OR(A18="",C18="",C18=0,E18=""),"",E18/C18)</f>
        <v/>
      </c>
      <c r="I18" s="16">
        <f>IF(OR(A18="",F18="",G18=""),"",G18-F18)</f>
        <v/>
      </c>
    </row>
    <row r="19">
      <c r="A19" s="12">
        <f>IF(Classes!B19="","",Classes!B19)</f>
        <v/>
      </c>
      <c r="B19" s="12">
        <f>IF(Classes!B19="","",IF(Classes!C19="","",Classes!C19))</f>
        <v/>
      </c>
      <c r="C19" s="12">
        <f>IF(A19="","",IF(Classes!D19="","",Classes!D19))</f>
        <v/>
      </c>
      <c r="D19" s="8" t="n"/>
      <c r="E19" s="8" t="n"/>
      <c r="F19" s="8" t="n"/>
      <c r="G19" s="8" t="n"/>
      <c r="H19" s="15">
        <f>IF(OR(A19="",C19="",C19=0,E19=""),"",E19/C19)</f>
        <v/>
      </c>
      <c r="I19" s="16">
        <f>IF(OR(A19="",F19="",G19=""),"",G19-F19)</f>
        <v/>
      </c>
    </row>
    <row r="20">
      <c r="A20" s="12">
        <f>IF(Classes!B20="","",Classes!B20)</f>
        <v/>
      </c>
      <c r="B20" s="12">
        <f>IF(Classes!B20="","",IF(Classes!C20="","",Classes!C20))</f>
        <v/>
      </c>
      <c r="C20" s="12">
        <f>IF(A20="","",IF(Classes!D20="","",Classes!D20))</f>
        <v/>
      </c>
      <c r="D20" s="8" t="n"/>
      <c r="E20" s="8" t="n"/>
      <c r="F20" s="8" t="n"/>
      <c r="G20" s="8" t="n"/>
      <c r="H20" s="15">
        <f>IF(OR(A20="",C20="",C20=0,E20=""),"",E20/C20)</f>
        <v/>
      </c>
      <c r="I20" s="16">
        <f>IF(OR(A20="",F20="",G20=""),"",G20-F20)</f>
        <v/>
      </c>
    </row>
    <row r="21">
      <c r="A21" s="12">
        <f>IF(Classes!B21="","",Classes!B21)</f>
        <v/>
      </c>
      <c r="B21" s="12">
        <f>IF(Classes!B21="","",IF(Classes!C21="","",Classes!C21))</f>
        <v/>
      </c>
      <c r="C21" s="12">
        <f>IF(A21="","",IF(Classes!D21="","",Classes!D21))</f>
        <v/>
      </c>
      <c r="D21" s="8" t="n"/>
      <c r="E21" s="8" t="n"/>
      <c r="F21" s="8" t="n"/>
      <c r="G21" s="8" t="n"/>
      <c r="H21" s="15">
        <f>IF(OR(A21="",C21="",C21=0,E21=""),"",E21/C21)</f>
        <v/>
      </c>
      <c r="I21" s="16">
        <f>IF(OR(A21="",F21="",G21=""),"",G21-F21)</f>
        <v/>
      </c>
    </row>
    <row r="22">
      <c r="A22" s="12">
        <f>IF(Classes!B22="","",Classes!B22)</f>
        <v/>
      </c>
      <c r="B22" s="12">
        <f>IF(Classes!B22="","",IF(Classes!C22="","",Classes!C22))</f>
        <v/>
      </c>
      <c r="C22" s="12">
        <f>IF(A22="","",IF(Classes!D22="","",Classes!D22))</f>
        <v/>
      </c>
      <c r="D22" s="8" t="n"/>
      <c r="E22" s="8" t="n"/>
      <c r="F22" s="8" t="n"/>
      <c r="G22" s="8" t="n"/>
      <c r="H22" s="15">
        <f>IF(OR(A22="",C22="",C22=0,E22=""),"",E22/C22)</f>
        <v/>
      </c>
      <c r="I22" s="16">
        <f>IF(OR(A22="",F22="",G22=""),"",G22-F22)</f>
        <v/>
      </c>
    </row>
    <row r="23">
      <c r="A23" s="12">
        <f>IF(Classes!B23="","",Classes!B23)</f>
        <v/>
      </c>
      <c r="B23" s="12">
        <f>IF(Classes!B23="","",IF(Classes!C23="","",Classes!C23))</f>
        <v/>
      </c>
      <c r="C23" s="12">
        <f>IF(A23="","",IF(Classes!D23="","",Classes!D23))</f>
        <v/>
      </c>
      <c r="D23" s="8" t="n"/>
      <c r="E23" s="8" t="n"/>
      <c r="F23" s="8" t="n"/>
      <c r="G23" s="8" t="n"/>
      <c r="H23" s="15">
        <f>IF(OR(A23="",C23="",C23=0,E23=""),"",E23/C23)</f>
        <v/>
      </c>
      <c r="I23" s="16">
        <f>IF(OR(A23="",F23="",G23=""),"",G23-F23)</f>
        <v/>
      </c>
    </row>
    <row r="24">
      <c r="A24" s="12">
        <f>IF(Classes!B24="","",Classes!B24)</f>
        <v/>
      </c>
      <c r="B24" s="12">
        <f>IF(Classes!B24="","",IF(Classes!C24="","",Classes!C24))</f>
        <v/>
      </c>
      <c r="C24" s="12">
        <f>IF(A24="","",IF(Classes!D24="","",Classes!D24))</f>
        <v/>
      </c>
      <c r="D24" s="8" t="n"/>
      <c r="E24" s="8" t="n"/>
      <c r="F24" s="8" t="n"/>
      <c r="G24" s="8" t="n"/>
      <c r="H24" s="15">
        <f>IF(OR(A24="",C24="",C24=0,E24=""),"",E24/C24)</f>
        <v/>
      </c>
      <c r="I24" s="16">
        <f>IF(OR(A24="",F24="",G24=""),"",G24-F24)</f>
        <v/>
      </c>
    </row>
    <row r="25">
      <c r="A25" s="12">
        <f>IF(Classes!B25="","",Classes!B25)</f>
        <v/>
      </c>
      <c r="B25" s="12">
        <f>IF(Classes!B25="","",IF(Classes!C25="","",Classes!C25))</f>
        <v/>
      </c>
      <c r="C25" s="12">
        <f>IF(A25="","",IF(Classes!D25="","",Classes!D25))</f>
        <v/>
      </c>
      <c r="D25" s="8" t="n"/>
      <c r="E25" s="8" t="n"/>
      <c r="F25" s="8" t="n"/>
      <c r="G25" s="8" t="n"/>
      <c r="H25" s="15">
        <f>IF(OR(A25="",C25="",C25=0,E25=""),"",E25/C25)</f>
        <v/>
      </c>
      <c r="I25" s="16">
        <f>IF(OR(A25="",F25="",G25=""),"",G25-F25)</f>
        <v/>
      </c>
    </row>
    <row r="26">
      <c r="A26" s="12">
        <f>IF(Classes!B26="","",Classes!B26)</f>
        <v/>
      </c>
      <c r="B26" s="12">
        <f>IF(Classes!B26="","",IF(Classes!C26="","",Classes!C26))</f>
        <v/>
      </c>
      <c r="C26" s="12">
        <f>IF(A26="","",IF(Classes!D26="","",Classes!D26))</f>
        <v/>
      </c>
      <c r="D26" s="8" t="n"/>
      <c r="E26" s="8" t="n"/>
      <c r="F26" s="8" t="n"/>
      <c r="G26" s="8" t="n"/>
      <c r="H26" s="15">
        <f>IF(OR(A26="",C26="",C26=0,E26=""),"",E26/C26)</f>
        <v/>
      </c>
      <c r="I26" s="16">
        <f>IF(OR(A26="",F26="",G26=""),"",G26-F26)</f>
        <v/>
      </c>
    </row>
    <row r="27">
      <c r="A27" s="12">
        <f>IF(Classes!B27="","",Classes!B27)</f>
        <v/>
      </c>
      <c r="B27" s="12">
        <f>IF(Classes!B27="","",IF(Classes!C27="","",Classes!C27))</f>
        <v/>
      </c>
      <c r="C27" s="12">
        <f>IF(A27="","",IF(Classes!D27="","",Classes!D27))</f>
        <v/>
      </c>
      <c r="D27" s="8" t="n"/>
      <c r="E27" s="8" t="n"/>
      <c r="F27" s="8" t="n"/>
      <c r="G27" s="8" t="n"/>
      <c r="H27" s="15">
        <f>IF(OR(A27="",C27="",C27=0,E27=""),"",E27/C27)</f>
        <v/>
      </c>
      <c r="I27" s="16">
        <f>IF(OR(A27="",F27="",G27=""),"",G27-F27)</f>
        <v/>
      </c>
    </row>
    <row r="28">
      <c r="A28" s="12">
        <f>IF(Classes!B28="","",Classes!B28)</f>
        <v/>
      </c>
      <c r="B28" s="12">
        <f>IF(Classes!B28="","",IF(Classes!C28="","",Classes!C28))</f>
        <v/>
      </c>
      <c r="C28" s="12">
        <f>IF(A28="","",IF(Classes!D28="","",Classes!D28))</f>
        <v/>
      </c>
      <c r="D28" s="8" t="n"/>
      <c r="E28" s="8" t="n"/>
      <c r="F28" s="8" t="n"/>
      <c r="G28" s="8" t="n"/>
      <c r="H28" s="15">
        <f>IF(OR(A28="",C28="",C28=0,E28=""),"",E28/C28)</f>
        <v/>
      </c>
      <c r="I28" s="16">
        <f>IF(OR(A28="",F28="",G28=""),"",G28-F28)</f>
        <v/>
      </c>
    </row>
    <row r="29">
      <c r="A29" s="12">
        <f>IF(Classes!B29="","",Classes!B29)</f>
        <v/>
      </c>
      <c r="B29" s="12">
        <f>IF(Classes!B29="","",IF(Classes!C29="","",Classes!C29))</f>
        <v/>
      </c>
      <c r="C29" s="12">
        <f>IF(A29="","",IF(Classes!D29="","",Classes!D29))</f>
        <v/>
      </c>
      <c r="D29" s="8" t="n"/>
      <c r="E29" s="8" t="n"/>
      <c r="F29" s="8" t="n"/>
      <c r="G29" s="8" t="n"/>
      <c r="H29" s="15">
        <f>IF(OR(A29="",C29="",C29=0,E29=""),"",E29/C29)</f>
        <v/>
      </c>
      <c r="I29" s="16">
        <f>IF(OR(A29="",F29="",G29=""),"",G29-F29)</f>
        <v/>
      </c>
    </row>
    <row r="30">
      <c r="A30" s="12">
        <f>IF(Classes!B30="","",Classes!B30)</f>
        <v/>
      </c>
      <c r="B30" s="12">
        <f>IF(Classes!B30="","",IF(Classes!C30="","",Classes!C30))</f>
        <v/>
      </c>
      <c r="C30" s="12">
        <f>IF(A30="","",IF(Classes!D30="","",Classes!D30))</f>
        <v/>
      </c>
      <c r="D30" s="8" t="n"/>
      <c r="E30" s="8" t="n"/>
      <c r="F30" s="8" t="n"/>
      <c r="G30" s="8" t="n"/>
      <c r="H30" s="15">
        <f>IF(OR(A30="",C30="",C30=0,E30=""),"",E30/C30)</f>
        <v/>
      </c>
      <c r="I30" s="16">
        <f>IF(OR(A30="",F30="",G30=""),"",G30-F30)</f>
        <v/>
      </c>
    </row>
    <row r="31">
      <c r="A31" s="12">
        <f>IF(Classes!B31="","",Classes!B31)</f>
        <v/>
      </c>
      <c r="B31" s="12">
        <f>IF(Classes!B31="","",IF(Classes!C31="","",Classes!C31))</f>
        <v/>
      </c>
      <c r="C31" s="12">
        <f>IF(A31="","",IF(Classes!D31="","",Classes!D31))</f>
        <v/>
      </c>
      <c r="D31" s="8" t="n"/>
      <c r="E31" s="8" t="n"/>
      <c r="F31" s="8" t="n"/>
      <c r="G31" s="8" t="n"/>
      <c r="H31" s="15">
        <f>IF(OR(A31="",C31="",C31=0,E31=""),"",E31/C31)</f>
        <v/>
      </c>
      <c r="I31" s="16">
        <f>IF(OR(A31="",F31="",G31=""),"",G31-F31)</f>
        <v/>
      </c>
    </row>
    <row r="32">
      <c r="A32" s="12">
        <f>IF(Classes!B32="","",Classes!B32)</f>
        <v/>
      </c>
      <c r="B32" s="12">
        <f>IF(Classes!B32="","",IF(Classes!C32="","",Classes!C32))</f>
        <v/>
      </c>
      <c r="C32" s="12">
        <f>IF(A32="","",IF(Classes!D32="","",Classes!D32))</f>
        <v/>
      </c>
      <c r="D32" s="8" t="n"/>
      <c r="E32" s="8" t="n"/>
      <c r="F32" s="8" t="n"/>
      <c r="G32" s="8" t="n"/>
      <c r="H32" s="15">
        <f>IF(OR(A32="",C32="",C32=0,E32=""),"",E32/C32)</f>
        <v/>
      </c>
      <c r="I32" s="16">
        <f>IF(OR(A32="",F32="",G32=""),"",G32-F32)</f>
        <v/>
      </c>
    </row>
    <row r="33">
      <c r="A33" s="12">
        <f>IF(Classes!B33="","",Classes!B33)</f>
        <v/>
      </c>
      <c r="B33" s="12">
        <f>IF(Classes!B33="","",IF(Classes!C33="","",Classes!C33))</f>
        <v/>
      </c>
      <c r="C33" s="12">
        <f>IF(A33="","",IF(Classes!D33="","",Classes!D33))</f>
        <v/>
      </c>
      <c r="D33" s="8" t="n"/>
      <c r="E33" s="8" t="n"/>
      <c r="F33" s="8" t="n"/>
      <c r="G33" s="8" t="n"/>
      <c r="H33" s="15">
        <f>IF(OR(A33="",C33="",C33=0,E33=""),"",E33/C33)</f>
        <v/>
      </c>
      <c r="I33" s="16">
        <f>IF(OR(A33="",F33="",G33=""),"",G33-F33)</f>
        <v/>
      </c>
    </row>
    <row r="34">
      <c r="A34" s="12">
        <f>IF(Classes!B34="","",Classes!B34)</f>
        <v/>
      </c>
      <c r="B34" s="12">
        <f>IF(Classes!B34="","",IF(Classes!C34="","",Classes!C34))</f>
        <v/>
      </c>
      <c r="C34" s="12">
        <f>IF(A34="","",IF(Classes!D34="","",Classes!D34))</f>
        <v/>
      </c>
      <c r="D34" s="8" t="n"/>
      <c r="E34" s="8" t="n"/>
      <c r="F34" s="8" t="n"/>
      <c r="G34" s="8" t="n"/>
      <c r="H34" s="15">
        <f>IF(OR(A34="",C34="",C34=0,E34=""),"",E34/C34)</f>
        <v/>
      </c>
      <c r="I34" s="16">
        <f>IF(OR(A34="",F34="",G34=""),"",G34-F34)</f>
        <v/>
      </c>
    </row>
    <row r="35">
      <c r="A35" s="12">
        <f>IF(Classes!B35="","",Classes!B35)</f>
        <v/>
      </c>
      <c r="B35" s="12">
        <f>IF(Classes!B35="","",IF(Classes!C35="","",Classes!C35))</f>
        <v/>
      </c>
      <c r="C35" s="12">
        <f>IF(A35="","",IF(Classes!D35="","",Classes!D35))</f>
        <v/>
      </c>
      <c r="D35" s="8" t="n"/>
      <c r="E35" s="8" t="n"/>
      <c r="F35" s="8" t="n"/>
      <c r="G35" s="8" t="n"/>
      <c r="H35" s="15">
        <f>IF(OR(A35="",C35="",C35=0,E35=""),"",E35/C35)</f>
        <v/>
      </c>
      <c r="I35" s="16">
        <f>IF(OR(A35="",F35="",G35=""),"",G35-F35)</f>
        <v/>
      </c>
    </row>
    <row r="36">
      <c r="A36" s="12">
        <f>IF(Classes!B36="","",Classes!B36)</f>
        <v/>
      </c>
      <c r="B36" s="12">
        <f>IF(Classes!B36="","",IF(Classes!C36="","",Classes!C36))</f>
        <v/>
      </c>
      <c r="C36" s="12">
        <f>IF(A36="","",IF(Classes!D36="","",Classes!D36))</f>
        <v/>
      </c>
      <c r="D36" s="8" t="n"/>
      <c r="E36" s="8" t="n"/>
      <c r="F36" s="8" t="n"/>
      <c r="G36" s="8" t="n"/>
      <c r="H36" s="15">
        <f>IF(OR(A36="",C36="",C36=0,E36=""),"",E36/C36)</f>
        <v/>
      </c>
      <c r="I36" s="16">
        <f>IF(OR(A36="",F36="",G36=""),"",G36-F36)</f>
        <v/>
      </c>
    </row>
    <row r="37">
      <c r="A37" s="12">
        <f>IF(Classes!B37="","",Classes!B37)</f>
        <v/>
      </c>
      <c r="B37" s="12">
        <f>IF(Classes!B37="","",IF(Classes!C37="","",Classes!C37))</f>
        <v/>
      </c>
      <c r="C37" s="12">
        <f>IF(A37="","",IF(Classes!D37="","",Classes!D37))</f>
        <v/>
      </c>
      <c r="D37" s="8" t="n"/>
      <c r="E37" s="8" t="n"/>
      <c r="F37" s="8" t="n"/>
      <c r="G37" s="8" t="n"/>
      <c r="H37" s="15">
        <f>IF(OR(A37="",C37="",C37=0,E37=""),"",E37/C37)</f>
        <v/>
      </c>
      <c r="I37" s="16">
        <f>IF(OR(A37="",F37="",G37=""),"",G37-F37)</f>
        <v/>
      </c>
    </row>
    <row r="38">
      <c r="A38" s="12">
        <f>IF(Classes!B38="","",Classes!B38)</f>
        <v/>
      </c>
      <c r="B38" s="12">
        <f>IF(Classes!B38="","",IF(Classes!C38="","",Classes!C38))</f>
        <v/>
      </c>
      <c r="C38" s="12">
        <f>IF(A38="","",IF(Classes!D38="","",Classes!D38))</f>
        <v/>
      </c>
      <c r="D38" s="8" t="n"/>
      <c r="E38" s="8" t="n"/>
      <c r="F38" s="8" t="n"/>
      <c r="G38" s="8" t="n"/>
      <c r="H38" s="15">
        <f>IF(OR(A38="",C38="",C38=0,E38=""),"",E38/C38)</f>
        <v/>
      </c>
      <c r="I38" s="16">
        <f>IF(OR(A38="",F38="",G38=""),"",G38-F38)</f>
        <v/>
      </c>
    </row>
    <row r="39">
      <c r="A39" s="12">
        <f>IF(Classes!B39="","",Classes!B39)</f>
        <v/>
      </c>
      <c r="B39" s="12">
        <f>IF(Classes!B39="","",IF(Classes!C39="","",Classes!C39))</f>
        <v/>
      </c>
      <c r="C39" s="12">
        <f>IF(A39="","",IF(Classes!D39="","",Classes!D39))</f>
        <v/>
      </c>
      <c r="D39" s="8" t="n"/>
      <c r="E39" s="8" t="n"/>
      <c r="F39" s="8" t="n"/>
      <c r="G39" s="8" t="n"/>
      <c r="H39" s="15">
        <f>IF(OR(A39="",C39="",C39=0,E39=""),"",E39/C39)</f>
        <v/>
      </c>
      <c r="I39" s="16">
        <f>IF(OR(A39="",F39="",G39=""),"",G39-F39)</f>
        <v/>
      </c>
    </row>
    <row r="40">
      <c r="A40" s="12">
        <f>IF(Classes!B40="","",Classes!B40)</f>
        <v/>
      </c>
      <c r="B40" s="12">
        <f>IF(Classes!B40="","",IF(Classes!C40="","",Classes!C40))</f>
        <v/>
      </c>
      <c r="C40" s="12">
        <f>IF(A40="","",IF(Classes!D40="","",Classes!D40))</f>
        <v/>
      </c>
      <c r="D40" s="8" t="n"/>
      <c r="E40" s="8" t="n"/>
      <c r="F40" s="8" t="n"/>
      <c r="G40" s="8" t="n"/>
      <c r="H40" s="15">
        <f>IF(OR(A40="",C40="",C40=0,E40=""),"",E40/C40)</f>
        <v/>
      </c>
      <c r="I40" s="16">
        <f>IF(OR(A40="",F40="",G40=""),"",G40-F40)</f>
        <v/>
      </c>
    </row>
    <row r="41">
      <c r="A41" s="12">
        <f>IF(Classes!B41="","",Classes!B41)</f>
        <v/>
      </c>
      <c r="B41" s="12">
        <f>IF(Classes!B41="","",IF(Classes!C41="","",Classes!C41))</f>
        <v/>
      </c>
      <c r="C41" s="12">
        <f>IF(A41="","",IF(Classes!D41="","",Classes!D41))</f>
        <v/>
      </c>
      <c r="D41" s="8" t="n"/>
      <c r="E41" s="8" t="n"/>
      <c r="F41" s="8" t="n"/>
      <c r="G41" s="8" t="n"/>
      <c r="H41" s="15">
        <f>IF(OR(A41="",C41="",C41=0,E41=""),"",E41/C41)</f>
        <v/>
      </c>
      <c r="I41" s="16">
        <f>IF(OR(A41="",F41="",G41=""),"",G41-F41)</f>
        <v/>
      </c>
    </row>
    <row r="42">
      <c r="A42" s="12">
        <f>IF(Classes!B42="","",Classes!B42)</f>
        <v/>
      </c>
      <c r="B42" s="12">
        <f>IF(Classes!B42="","",IF(Classes!C42="","",Classes!C42))</f>
        <v/>
      </c>
      <c r="C42" s="12">
        <f>IF(A42="","",IF(Classes!D42="","",Classes!D42))</f>
        <v/>
      </c>
      <c r="D42" s="8" t="n"/>
      <c r="E42" s="8" t="n"/>
      <c r="F42" s="8" t="n"/>
      <c r="G42" s="8" t="n"/>
      <c r="H42" s="15">
        <f>IF(OR(A42="",C42="",C42=0,E42=""),"",E42/C42)</f>
        <v/>
      </c>
      <c r="I42" s="16">
        <f>IF(OR(A42="",F42="",G42=""),"",G42-F42)</f>
        <v/>
      </c>
    </row>
    <row r="43">
      <c r="A43" s="12">
        <f>IF(Classes!B43="","",Classes!B43)</f>
        <v/>
      </c>
      <c r="B43" s="12">
        <f>IF(Classes!B43="","",IF(Classes!C43="","",Classes!C43))</f>
        <v/>
      </c>
      <c r="C43" s="12">
        <f>IF(A43="","",IF(Classes!D43="","",Classes!D43))</f>
        <v/>
      </c>
      <c r="D43" s="8" t="n"/>
      <c r="E43" s="8" t="n"/>
      <c r="F43" s="8" t="n"/>
      <c r="G43" s="8" t="n"/>
      <c r="H43" s="15">
        <f>IF(OR(A43="",C43="",C43=0,E43=""),"",E43/C43)</f>
        <v/>
      </c>
      <c r="I43" s="16">
        <f>IF(OR(A43="",F43="",G43=""),"",G43-F43)</f>
        <v/>
      </c>
    </row>
    <row r="44">
      <c r="A44" s="12">
        <f>IF(Classes!B44="","",Classes!B44)</f>
        <v/>
      </c>
      <c r="B44" s="12">
        <f>IF(Classes!B44="","",IF(Classes!C44="","",Classes!C44))</f>
        <v/>
      </c>
      <c r="C44" s="12">
        <f>IF(A44="","",IF(Classes!D44="","",Classes!D44))</f>
        <v/>
      </c>
      <c r="D44" s="8" t="n"/>
      <c r="E44" s="8" t="n"/>
      <c r="F44" s="8" t="n"/>
      <c r="G44" s="8" t="n"/>
      <c r="H44" s="15">
        <f>IF(OR(A44="",C44="",C44=0,E44=""),"",E44/C44)</f>
        <v/>
      </c>
      <c r="I44" s="16">
        <f>IF(OR(A44="",F44="",G44=""),"",G44-F44)</f>
        <v/>
      </c>
    </row>
    <row r="45">
      <c r="A45" s="12">
        <f>IF(Classes!B45="","",Classes!B45)</f>
        <v/>
      </c>
      <c r="B45" s="12">
        <f>IF(Classes!B45="","",IF(Classes!C45="","",Classes!C45))</f>
        <v/>
      </c>
      <c r="C45" s="12">
        <f>IF(A45="","",IF(Classes!D45="","",Classes!D45))</f>
        <v/>
      </c>
      <c r="D45" s="8" t="n"/>
      <c r="E45" s="8" t="n"/>
      <c r="F45" s="8" t="n"/>
      <c r="G45" s="8" t="n"/>
      <c r="H45" s="15">
        <f>IF(OR(A45="",C45="",C45=0,E45=""),"",E45/C45)</f>
        <v/>
      </c>
      <c r="I45" s="16">
        <f>IF(OR(A45="",F45="",G45=""),"",G45-F45)</f>
        <v/>
      </c>
    </row>
  </sheetData>
  <sheetProtection selectLockedCells="0" selectUnlockedCells="0" sheet="1" objects="0" insertRows="1" insertHyperlinks="1" autoFilter="0" scenarios="0" formatColumns="0" deleteColumns="1" insertColumns="1" pivotTables="1" deleteRows="1" formatCells="1" formatRows="0" sort="0"/>
  <mergeCells count="2">
    <mergeCell ref="A3:I3"/>
    <mergeCell ref="A2:I2"/>
  </mergeCells>
  <dataValidations count="4">
    <dataValidation sqref="D6:D45" showDropDown="0" showInputMessage="1" showErrorMessage="1" allowBlank="1" errorTitle="Check this entry" error="Type a whole number from 0 to 500." promptTitle="Sessions" prompt="A count of practice sessions." type="whole" errorStyle="stop" operator="between">
      <formula1>0</formula1>
      <formula2>500</formula2>
    </dataValidation>
    <dataValidation sqref="E6:E45" showDropDown="0" showInputMessage="1" showErrorMessage="1" allowBlank="1" errorTitle="Check this entry" error="A count cannot be larger than the number of students enrolled." promptTitle="Students (count)" prompt="A count. It cannot be larger than the number enrolled." type="custom" errorStyle="stop">
      <formula1>OR($C6="",E6&lt;=$C6)</formula1>
    </dataValidation>
    <dataValidation sqref="F6:F45" showDropDown="0" showInputMessage="1" showErrorMessage="1" allowBlank="1" errorTitle="Check this entry" error="A count cannot be larger than the number of students enrolled." promptTitle="Students (count)" prompt="A count. It cannot be larger than the number enrolled." type="custom" errorStyle="stop">
      <formula1>OR($C6="",F6&lt;=$C6)</formula1>
    </dataValidation>
    <dataValidation sqref="G6:G45" showDropDown="0" showInputMessage="1" showErrorMessage="1" allowBlank="1" errorTitle="Check this entry" error="A count cannot be larger than the number of students enrolled." promptTitle="Students (count)" prompt="A count. It cannot be larger than the number enrolled." type="custom" errorStyle="stop">
      <formula1>OR($C6="",G6&lt;=$C6)</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6.xml><?xml version="1.0" encoding="utf-8"?>
<worksheet xmlns="http://schemas.openxmlformats.org/spreadsheetml/2006/main">
  <sheetPr>
    <tabColor rgb="00FF8A3D"/>
    <outlinePr summaryBelow="1" summaryRight="1"/>
    <pageSetUpPr fitToPage="1"/>
  </sheetPr>
  <dimension ref="A1:S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2" customWidth="1" min="15" max="15"/>
    <col width="12" customWidth="1" min="16" max="16"/>
    <col width="12" customWidth="1" min="17" max="17"/>
    <col width="12" customWidth="1" min="18" max="18"/>
    <col width="12" customWidth="1" min="19" max="19"/>
  </cols>
  <sheetData>
    <row r="1">
      <c r="A1" s="5" t="inlineStr">
        <is>
          <t>Pre and post survey tallies (optional)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Use only if your counsel has approved the Assessment Pack surveys for your school. Type class totals from the Class Tally Sheet: students who answered, and students who gave the best answer on each of the three core items. Core items by band: K-2 items 1, 4, 5; 3-5 items 1, 4, 7; 6-8 items 2, 5, 7; 9-12 items 1, 4, 10. Confidence is the number rating 3 or higher (4 or higher on a 5-point scale) on the confidence-to-tell item.</t>
        </is>
      </c>
    </row>
    <row r="5" ht="62" customHeight="1">
      <c r="A5" s="11" t="inlineStr">
        <is>
          <t>Class</t>
        </is>
      </c>
      <c r="B5" s="11" t="inlineStr">
        <is>
          <t>Band</t>
        </is>
      </c>
      <c r="C5" s="11" t="inlineStr">
        <is>
          <t>Students enrolled</t>
        </is>
      </c>
      <c r="D5" s="11" t="inlineStr">
        <is>
          <t>PRE: students who answered</t>
        </is>
      </c>
      <c r="E5" s="11" t="inlineStr">
        <is>
          <t>PRE: best answer core item 1</t>
        </is>
      </c>
      <c r="F5" s="11" t="inlineStr">
        <is>
          <t>PRE: core item 2</t>
        </is>
      </c>
      <c r="G5" s="11" t="inlineStr">
        <is>
          <t>PRE: core item 3</t>
        </is>
      </c>
      <c r="H5" s="11" t="inlineStr">
        <is>
          <t>PRE: confident to tell (count)</t>
        </is>
      </c>
      <c r="I5" s="11" t="inlineStr">
        <is>
          <t>POST: students who answered</t>
        </is>
      </c>
      <c r="J5" s="11" t="inlineStr">
        <is>
          <t>POST: best answer core item 1</t>
        </is>
      </c>
      <c r="K5" s="11" t="inlineStr">
        <is>
          <t>POST: core item 2</t>
        </is>
      </c>
      <c r="L5" s="11" t="inlineStr">
        <is>
          <t>POST: core item 3</t>
        </is>
      </c>
      <c r="M5" s="11" t="inlineStr">
        <is>
          <t>POST: confident to tell (count)</t>
        </is>
      </c>
      <c r="N5" s="11" t="inlineStr">
        <is>
          <t>Matched pre/post pairs (count)</t>
        </is>
      </c>
      <c r="O5" s="11" t="inlineStr">
        <is>
          <t>Tell-Readiness before %</t>
        </is>
      </c>
      <c r="P5" s="11" t="inlineStr">
        <is>
          <t>Tell-Readiness after %</t>
        </is>
      </c>
      <c r="Q5" s="11" t="inlineStr">
        <is>
          <t>Change (percentage points)</t>
        </is>
      </c>
      <c r="R5" s="11" t="inlineStr">
        <is>
          <t>Confident to tell before %</t>
        </is>
      </c>
      <c r="S5" s="11" t="inlineStr">
        <is>
          <t>Confident to tell after %</t>
        </is>
      </c>
    </row>
    <row r="6">
      <c r="A6" s="12">
        <f>IF(Classes!B6="","",Classes!B6)</f>
        <v/>
      </c>
      <c r="B6" s="12">
        <f>IF(Classes!B6="","",IF(Classes!C6="","",Classes!C6))</f>
        <v/>
      </c>
      <c r="C6" s="12">
        <f>IF(A6="","",IF(Classes!D6="","",Classes!D6))</f>
        <v/>
      </c>
      <c r="D6" s="8" t="n">
        <v>21</v>
      </c>
      <c r="E6" s="8" t="n">
        <v>8</v>
      </c>
      <c r="F6" s="8" t="n">
        <v>10</v>
      </c>
      <c r="G6" s="8" t="n">
        <v>9</v>
      </c>
      <c r="H6" s="8" t="n">
        <v>11</v>
      </c>
      <c r="I6" s="8" t="n">
        <v>20</v>
      </c>
      <c r="J6" s="8" t="n">
        <v>15</v>
      </c>
      <c r="K6" s="8" t="n">
        <v>17</v>
      </c>
      <c r="L6" s="8" t="n">
        <v>16</v>
      </c>
      <c r="M6" s="8" t="n">
        <v>16</v>
      </c>
      <c r="N6" s="8" t="n">
        <v>19</v>
      </c>
      <c r="O6" s="15">
        <f>IF(OR(A6="",D6="",D6=0),"",(E6+F6+G6)/(3*D6))</f>
        <v/>
      </c>
      <c r="P6" s="15">
        <f>IF(OR(A6="",I6="",I6=0),"",(J6+K6+L6)/(3*I6))</f>
        <v/>
      </c>
      <c r="Q6" s="17">
        <f>IF(OR(O6="",P6=""),"",(P6-O6)*100)</f>
        <v/>
      </c>
      <c r="R6" s="15">
        <f>IF(OR(A6="",D6="",D6=0,H6=""),"",H6/D6)</f>
        <v/>
      </c>
      <c r="S6" s="15">
        <f>IF(OR(A6="",I6="",I6=0,M6=""),"",M6/I6)</f>
        <v/>
      </c>
    </row>
    <row r="7">
      <c r="A7" s="12">
        <f>IF(Classes!B7="","",Classes!B7)</f>
        <v/>
      </c>
      <c r="B7" s="12">
        <f>IF(Classes!B7="","",IF(Classes!C7="","",Classes!C7))</f>
        <v/>
      </c>
      <c r="C7" s="12">
        <f>IF(A7="","",IF(Classes!D7="","",Classes!D7))</f>
        <v/>
      </c>
      <c r="D7" s="8" t="n">
        <v>19</v>
      </c>
      <c r="E7" s="8" t="n">
        <v>7</v>
      </c>
      <c r="F7" s="8" t="n">
        <v>9</v>
      </c>
      <c r="G7" s="8" t="n">
        <v>8</v>
      </c>
      <c r="H7" s="8" t="n">
        <v>9</v>
      </c>
      <c r="I7" s="8" t="n">
        <v>18</v>
      </c>
      <c r="J7" s="8" t="n">
        <v>13</v>
      </c>
      <c r="K7" s="8" t="n">
        <v>14</v>
      </c>
      <c r="L7" s="8" t="n">
        <v>14</v>
      </c>
      <c r="M7" s="8" t="n">
        <v>13</v>
      </c>
      <c r="N7" s="8" t="n">
        <v>17</v>
      </c>
      <c r="O7" s="15">
        <f>IF(OR(A7="",D7="",D7=0),"",(E7+F7+G7)/(3*D7))</f>
        <v/>
      </c>
      <c r="P7" s="15">
        <f>IF(OR(A7="",I7="",I7=0),"",(J7+K7+L7)/(3*I7))</f>
        <v/>
      </c>
      <c r="Q7" s="17">
        <f>IF(OR(O7="",P7=""),"",(P7-O7)*100)</f>
        <v/>
      </c>
      <c r="R7" s="15">
        <f>IF(OR(A7="",D7="",D7=0,H7=""),"",H7/D7)</f>
        <v/>
      </c>
      <c r="S7" s="15">
        <f>IF(OR(A7="",I7="",I7=0,M7=""),"",M7/I7)</f>
        <v/>
      </c>
    </row>
    <row r="8">
      <c r="A8" s="12">
        <f>IF(Classes!B8="","",Classes!B8)</f>
        <v/>
      </c>
      <c r="B8" s="12">
        <f>IF(Classes!B8="","",IF(Classes!C8="","",Classes!C8))</f>
        <v/>
      </c>
      <c r="C8" s="12">
        <f>IF(A8="","",IF(Classes!D8="","",Classes!D8))</f>
        <v/>
      </c>
      <c r="D8" s="8" t="n">
        <v>23</v>
      </c>
      <c r="E8" s="8" t="n">
        <v>10</v>
      </c>
      <c r="F8" s="8" t="n">
        <v>12</v>
      </c>
      <c r="G8" s="8" t="n">
        <v>11</v>
      </c>
      <c r="H8" s="8" t="n">
        <v>12</v>
      </c>
      <c r="I8" s="8" t="n">
        <v>22</v>
      </c>
      <c r="J8" s="8" t="n">
        <v>17</v>
      </c>
      <c r="K8" s="8" t="n">
        <v>18</v>
      </c>
      <c r="L8" s="8" t="n">
        <v>19</v>
      </c>
      <c r="M8" s="8" t="n">
        <v>17</v>
      </c>
      <c r="N8" s="8" t="n">
        <v>21</v>
      </c>
      <c r="O8" s="15">
        <f>IF(OR(A8="",D8="",D8=0),"",(E8+F8+G8)/(3*D8))</f>
        <v/>
      </c>
      <c r="P8" s="15">
        <f>IF(OR(A8="",I8="",I8=0),"",(J8+K8+L8)/(3*I8))</f>
        <v/>
      </c>
      <c r="Q8" s="17">
        <f>IF(OR(O8="",P8=""),"",(P8-O8)*100)</f>
        <v/>
      </c>
      <c r="R8" s="15">
        <f>IF(OR(A8="",D8="",D8=0,H8=""),"",H8/D8)</f>
        <v/>
      </c>
      <c r="S8" s="15">
        <f>IF(OR(A8="",I8="",I8=0,M8=""),"",M8/I8)</f>
        <v/>
      </c>
    </row>
    <row r="9">
      <c r="A9" s="12">
        <f>IF(Classes!B9="","",Classes!B9)</f>
        <v/>
      </c>
      <c r="B9" s="12">
        <f>IF(Classes!B9="","",IF(Classes!C9="","",Classes!C9))</f>
        <v/>
      </c>
      <c r="C9" s="12">
        <f>IF(A9="","",IF(Classes!D9="","",Classes!D9))</f>
        <v/>
      </c>
      <c r="D9" s="8" t="n">
        <v>22</v>
      </c>
      <c r="E9" s="8" t="n">
        <v>9</v>
      </c>
      <c r="F9" s="8" t="n">
        <v>11</v>
      </c>
      <c r="G9" s="8" t="n">
        <v>10</v>
      </c>
      <c r="H9" s="8" t="n">
        <v>11</v>
      </c>
      <c r="I9" s="8" t="n">
        <v>21</v>
      </c>
      <c r="J9" s="8" t="n">
        <v>14</v>
      </c>
      <c r="K9" s="8" t="n">
        <v>16</v>
      </c>
      <c r="L9" s="8" t="n">
        <v>15</v>
      </c>
      <c r="M9" s="8" t="n">
        <v>14</v>
      </c>
      <c r="N9" s="8" t="n">
        <v>20</v>
      </c>
      <c r="O9" s="15">
        <f>IF(OR(A9="",D9="",D9=0),"",(E9+F9+G9)/(3*D9))</f>
        <v/>
      </c>
      <c r="P9" s="15">
        <f>IF(OR(A9="",I9="",I9=0),"",(J9+K9+L9)/(3*I9))</f>
        <v/>
      </c>
      <c r="Q9" s="17">
        <f>IF(OR(O9="",P9=""),"",(P9-O9)*100)</f>
        <v/>
      </c>
      <c r="R9" s="15">
        <f>IF(OR(A9="",D9="",D9=0,H9=""),"",H9/D9)</f>
        <v/>
      </c>
      <c r="S9" s="15">
        <f>IF(OR(A9="",I9="",I9=0,M9=""),"",M9/I9)</f>
        <v/>
      </c>
    </row>
    <row r="10">
      <c r="A10" s="12">
        <f>IF(Classes!B10="","",Classes!B10)</f>
        <v/>
      </c>
      <c r="B10" s="12">
        <f>IF(Classes!B10="","",IF(Classes!C10="","",Classes!C10))</f>
        <v/>
      </c>
      <c r="C10" s="12">
        <f>IF(A10="","",IF(Classes!D10="","",Classes!D10))</f>
        <v/>
      </c>
      <c r="D10" s="8" t="n">
        <v>26</v>
      </c>
      <c r="E10" s="8" t="n">
        <v>11</v>
      </c>
      <c r="F10" s="8" t="n">
        <v>13</v>
      </c>
      <c r="G10" s="8" t="n">
        <v>12</v>
      </c>
      <c r="H10" s="8" t="n">
        <v>13</v>
      </c>
      <c r="I10" s="8" t="n">
        <v>25</v>
      </c>
      <c r="J10" s="8" t="n">
        <v>20</v>
      </c>
      <c r="K10" s="8" t="n">
        <v>22</v>
      </c>
      <c r="L10" s="8" t="n">
        <v>21</v>
      </c>
      <c r="M10" s="8" t="n">
        <v>20</v>
      </c>
      <c r="N10" s="8" t="n">
        <v>24</v>
      </c>
      <c r="O10" s="15">
        <f>IF(OR(A10="",D10="",D10=0),"",(E10+F10+G10)/(3*D10))</f>
        <v/>
      </c>
      <c r="P10" s="15">
        <f>IF(OR(A10="",I10="",I10=0),"",(J10+K10+L10)/(3*I10))</f>
        <v/>
      </c>
      <c r="Q10" s="17">
        <f>IF(OR(O10="",P10=""),"",(P10-O10)*100)</f>
        <v/>
      </c>
      <c r="R10" s="15">
        <f>IF(OR(A10="",D10="",D10=0,H10=""),"",H10/D10)</f>
        <v/>
      </c>
      <c r="S10" s="15">
        <f>IF(OR(A10="",I10="",I10=0,M10=""),"",M10/I10)</f>
        <v/>
      </c>
    </row>
    <row r="11">
      <c r="A11" s="12">
        <f>IF(Classes!B11="","",Classes!B11)</f>
        <v/>
      </c>
      <c r="B11" s="12">
        <f>IF(Classes!B11="","",IF(Classes!C11="","",Classes!C11))</f>
        <v/>
      </c>
      <c r="C11" s="12">
        <f>IF(A11="","",IF(Classes!D11="","",Classes!D11))</f>
        <v/>
      </c>
      <c r="D11" s="8" t="n">
        <v>24</v>
      </c>
      <c r="E11" s="8" t="n">
        <v>10</v>
      </c>
      <c r="F11" s="8" t="n">
        <v>12</v>
      </c>
      <c r="G11" s="8" t="n">
        <v>11</v>
      </c>
      <c r="H11" s="8" t="n">
        <v>12</v>
      </c>
      <c r="I11" s="8" t="n">
        <v>23</v>
      </c>
      <c r="J11" s="8" t="n">
        <v>18</v>
      </c>
      <c r="K11" s="8" t="n">
        <v>19</v>
      </c>
      <c r="L11" s="8" t="n">
        <v>19</v>
      </c>
      <c r="M11" s="8" t="n">
        <v>18</v>
      </c>
      <c r="N11" s="8" t="n">
        <v>22</v>
      </c>
      <c r="O11" s="15">
        <f>IF(OR(A11="",D11="",D11=0),"",(E11+F11+G11)/(3*D11))</f>
        <v/>
      </c>
      <c r="P11" s="15">
        <f>IF(OR(A11="",I11="",I11=0),"",(J11+K11+L11)/(3*I11))</f>
        <v/>
      </c>
      <c r="Q11" s="17">
        <f>IF(OR(O11="",P11=""),"",(P11-O11)*100)</f>
        <v/>
      </c>
      <c r="R11" s="15">
        <f>IF(OR(A11="",D11="",D11=0,H11=""),"",H11/D11)</f>
        <v/>
      </c>
      <c r="S11" s="15">
        <f>IF(OR(A11="",I11="",I11=0,M11=""),"",M11/I11)</f>
        <v/>
      </c>
    </row>
    <row r="12">
      <c r="A12" s="12">
        <f>IF(Classes!B12="","",Classes!B12)</f>
        <v/>
      </c>
      <c r="B12" s="12">
        <f>IF(Classes!B12="","",IF(Classes!C12="","",Classes!C12))</f>
        <v/>
      </c>
      <c r="C12" s="12">
        <f>IF(A12="","",IF(Classes!D12="","",Classes!D12))</f>
        <v/>
      </c>
      <c r="D12" s="8" t="n">
        <v>8</v>
      </c>
      <c r="E12" s="8" t="n">
        <v>3</v>
      </c>
      <c r="F12" s="8" t="n">
        <v>4</v>
      </c>
      <c r="G12" s="8" t="n">
        <v>3</v>
      </c>
      <c r="H12" s="8" t="n">
        <v>4</v>
      </c>
      <c r="I12" s="8" t="n">
        <v>7</v>
      </c>
      <c r="J12" s="8" t="n">
        <v>5</v>
      </c>
      <c r="K12" s="8" t="n">
        <v>6</v>
      </c>
      <c r="L12" s="8" t="n">
        <v>5</v>
      </c>
      <c r="M12" s="8" t="n">
        <v>5</v>
      </c>
      <c r="N12" s="8" t="n">
        <v>7</v>
      </c>
      <c r="O12" s="15">
        <f>IF(OR(A12="",D12="",D12=0),"",(E12+F12+G12)/(3*D12))</f>
        <v/>
      </c>
      <c r="P12" s="15">
        <f>IF(OR(A12="",I12="",I12=0),"",(J12+K12+L12)/(3*I12))</f>
        <v/>
      </c>
      <c r="Q12" s="17">
        <f>IF(OR(O12="",P12=""),"",(P12-O12)*100)</f>
        <v/>
      </c>
      <c r="R12" s="15">
        <f>IF(OR(A12="",D12="",D12=0,H12=""),"",H12/D12)</f>
        <v/>
      </c>
      <c r="S12" s="15">
        <f>IF(OR(A12="",I12="",I12=0,M12=""),"",M12/I12)</f>
        <v/>
      </c>
    </row>
    <row r="13">
      <c r="A13" s="12">
        <f>IF(Classes!B13="","",Classes!B13)</f>
        <v/>
      </c>
      <c r="B13" s="12">
        <f>IF(Classes!B13="","",IF(Classes!C13="","",Classes!C13))</f>
        <v/>
      </c>
      <c r="C13" s="12">
        <f>IF(A13="","",IF(Classes!D13="","",Classes!D13))</f>
        <v/>
      </c>
      <c r="D13" s="8" t="n"/>
      <c r="E13" s="8" t="n"/>
      <c r="F13" s="8" t="n"/>
      <c r="G13" s="8" t="n"/>
      <c r="H13" s="8" t="n"/>
      <c r="I13" s="8" t="n"/>
      <c r="J13" s="8" t="n"/>
      <c r="K13" s="8" t="n"/>
      <c r="L13" s="8" t="n"/>
      <c r="M13" s="8" t="n"/>
      <c r="N13" s="8" t="n"/>
      <c r="O13" s="15">
        <f>IF(OR(A13="",D13="",D13=0),"",(E13+F13+G13)/(3*D13))</f>
        <v/>
      </c>
      <c r="P13" s="15">
        <f>IF(OR(A13="",I13="",I13=0),"",(J13+K13+L13)/(3*I13))</f>
        <v/>
      </c>
      <c r="Q13" s="17">
        <f>IF(OR(O13="",P13=""),"",(P13-O13)*100)</f>
        <v/>
      </c>
      <c r="R13" s="15">
        <f>IF(OR(A13="",D13="",D13=0,H13=""),"",H13/D13)</f>
        <v/>
      </c>
      <c r="S13" s="15">
        <f>IF(OR(A13="",I13="",I13=0,M13=""),"",M13/I13)</f>
        <v/>
      </c>
    </row>
    <row r="14">
      <c r="A14" s="12">
        <f>IF(Classes!B14="","",Classes!B14)</f>
        <v/>
      </c>
      <c r="B14" s="12">
        <f>IF(Classes!B14="","",IF(Classes!C14="","",Classes!C14))</f>
        <v/>
      </c>
      <c r="C14" s="12">
        <f>IF(A14="","",IF(Classes!D14="","",Classes!D14))</f>
        <v/>
      </c>
      <c r="D14" s="8" t="n"/>
      <c r="E14" s="8" t="n"/>
      <c r="F14" s="8" t="n"/>
      <c r="G14" s="8" t="n"/>
      <c r="H14" s="8" t="n"/>
      <c r="I14" s="8" t="n"/>
      <c r="J14" s="8" t="n"/>
      <c r="K14" s="8" t="n"/>
      <c r="L14" s="8" t="n"/>
      <c r="M14" s="8" t="n"/>
      <c r="N14" s="8" t="n"/>
      <c r="O14" s="15">
        <f>IF(OR(A14="",D14="",D14=0),"",(E14+F14+G14)/(3*D14))</f>
        <v/>
      </c>
      <c r="P14" s="15">
        <f>IF(OR(A14="",I14="",I14=0),"",(J14+K14+L14)/(3*I14))</f>
        <v/>
      </c>
      <c r="Q14" s="17">
        <f>IF(OR(O14="",P14=""),"",(P14-O14)*100)</f>
        <v/>
      </c>
      <c r="R14" s="15">
        <f>IF(OR(A14="",D14="",D14=0,H14=""),"",H14/D14)</f>
        <v/>
      </c>
      <c r="S14" s="15">
        <f>IF(OR(A14="",I14="",I14=0,M14=""),"",M14/I14)</f>
        <v/>
      </c>
    </row>
    <row r="15">
      <c r="A15" s="12">
        <f>IF(Classes!B15="","",Classes!B15)</f>
        <v/>
      </c>
      <c r="B15" s="12">
        <f>IF(Classes!B15="","",IF(Classes!C15="","",Classes!C15))</f>
        <v/>
      </c>
      <c r="C15" s="12">
        <f>IF(A15="","",IF(Classes!D15="","",Classes!D15))</f>
        <v/>
      </c>
      <c r="D15" s="8" t="n"/>
      <c r="E15" s="8" t="n"/>
      <c r="F15" s="8" t="n"/>
      <c r="G15" s="8" t="n"/>
      <c r="H15" s="8" t="n"/>
      <c r="I15" s="8" t="n"/>
      <c r="J15" s="8" t="n"/>
      <c r="K15" s="8" t="n"/>
      <c r="L15" s="8" t="n"/>
      <c r="M15" s="8" t="n"/>
      <c r="N15" s="8" t="n"/>
      <c r="O15" s="15">
        <f>IF(OR(A15="",D15="",D15=0),"",(E15+F15+G15)/(3*D15))</f>
        <v/>
      </c>
      <c r="P15" s="15">
        <f>IF(OR(A15="",I15="",I15=0),"",(J15+K15+L15)/(3*I15))</f>
        <v/>
      </c>
      <c r="Q15" s="17">
        <f>IF(OR(O15="",P15=""),"",(P15-O15)*100)</f>
        <v/>
      </c>
      <c r="R15" s="15">
        <f>IF(OR(A15="",D15="",D15=0,H15=""),"",H15/D15)</f>
        <v/>
      </c>
      <c r="S15" s="15">
        <f>IF(OR(A15="",I15="",I15=0,M15=""),"",M15/I15)</f>
        <v/>
      </c>
    </row>
    <row r="16">
      <c r="A16" s="12">
        <f>IF(Classes!B16="","",Classes!B16)</f>
        <v/>
      </c>
      <c r="B16" s="12">
        <f>IF(Classes!B16="","",IF(Classes!C16="","",Classes!C16))</f>
        <v/>
      </c>
      <c r="C16" s="12">
        <f>IF(A16="","",IF(Classes!D16="","",Classes!D16))</f>
        <v/>
      </c>
      <c r="D16" s="8" t="n"/>
      <c r="E16" s="8" t="n"/>
      <c r="F16" s="8" t="n"/>
      <c r="G16" s="8" t="n"/>
      <c r="H16" s="8" t="n"/>
      <c r="I16" s="8" t="n"/>
      <c r="J16" s="8" t="n"/>
      <c r="K16" s="8" t="n"/>
      <c r="L16" s="8" t="n"/>
      <c r="M16" s="8" t="n"/>
      <c r="N16" s="8" t="n"/>
      <c r="O16" s="15">
        <f>IF(OR(A16="",D16="",D16=0),"",(E16+F16+G16)/(3*D16))</f>
        <v/>
      </c>
      <c r="P16" s="15">
        <f>IF(OR(A16="",I16="",I16=0),"",(J16+K16+L16)/(3*I16))</f>
        <v/>
      </c>
      <c r="Q16" s="17">
        <f>IF(OR(O16="",P16=""),"",(P16-O16)*100)</f>
        <v/>
      </c>
      <c r="R16" s="15">
        <f>IF(OR(A16="",D16="",D16=0,H16=""),"",H16/D16)</f>
        <v/>
      </c>
      <c r="S16" s="15">
        <f>IF(OR(A16="",I16="",I16=0,M16=""),"",M16/I16)</f>
        <v/>
      </c>
    </row>
    <row r="17">
      <c r="A17" s="12">
        <f>IF(Classes!B17="","",Classes!B17)</f>
        <v/>
      </c>
      <c r="B17" s="12">
        <f>IF(Classes!B17="","",IF(Classes!C17="","",Classes!C17))</f>
        <v/>
      </c>
      <c r="C17" s="12">
        <f>IF(A17="","",IF(Classes!D17="","",Classes!D17))</f>
        <v/>
      </c>
      <c r="D17" s="8" t="n"/>
      <c r="E17" s="8" t="n"/>
      <c r="F17" s="8" t="n"/>
      <c r="G17" s="8" t="n"/>
      <c r="H17" s="8" t="n"/>
      <c r="I17" s="8" t="n"/>
      <c r="J17" s="8" t="n"/>
      <c r="K17" s="8" t="n"/>
      <c r="L17" s="8" t="n"/>
      <c r="M17" s="8" t="n"/>
      <c r="N17" s="8" t="n"/>
      <c r="O17" s="15">
        <f>IF(OR(A17="",D17="",D17=0),"",(E17+F17+G17)/(3*D17))</f>
        <v/>
      </c>
      <c r="P17" s="15">
        <f>IF(OR(A17="",I17="",I17=0),"",(J17+K17+L17)/(3*I17))</f>
        <v/>
      </c>
      <c r="Q17" s="17">
        <f>IF(OR(O17="",P17=""),"",(P17-O17)*100)</f>
        <v/>
      </c>
      <c r="R17" s="15">
        <f>IF(OR(A17="",D17="",D17=0,H17=""),"",H17/D17)</f>
        <v/>
      </c>
      <c r="S17" s="15">
        <f>IF(OR(A17="",I17="",I17=0,M17=""),"",M17/I17)</f>
        <v/>
      </c>
    </row>
    <row r="18">
      <c r="A18" s="12">
        <f>IF(Classes!B18="","",Classes!B18)</f>
        <v/>
      </c>
      <c r="B18" s="12">
        <f>IF(Classes!B18="","",IF(Classes!C18="","",Classes!C18))</f>
        <v/>
      </c>
      <c r="C18" s="12">
        <f>IF(A18="","",IF(Classes!D18="","",Classes!D18))</f>
        <v/>
      </c>
      <c r="D18" s="8" t="n"/>
      <c r="E18" s="8" t="n"/>
      <c r="F18" s="8" t="n"/>
      <c r="G18" s="8" t="n"/>
      <c r="H18" s="8" t="n"/>
      <c r="I18" s="8" t="n"/>
      <c r="J18" s="8" t="n"/>
      <c r="K18" s="8" t="n"/>
      <c r="L18" s="8" t="n"/>
      <c r="M18" s="8" t="n"/>
      <c r="N18" s="8" t="n"/>
      <c r="O18" s="15">
        <f>IF(OR(A18="",D18="",D18=0),"",(E18+F18+G18)/(3*D18))</f>
        <v/>
      </c>
      <c r="P18" s="15">
        <f>IF(OR(A18="",I18="",I18=0),"",(J18+K18+L18)/(3*I18))</f>
        <v/>
      </c>
      <c r="Q18" s="17">
        <f>IF(OR(O18="",P18=""),"",(P18-O18)*100)</f>
        <v/>
      </c>
      <c r="R18" s="15">
        <f>IF(OR(A18="",D18="",D18=0,H18=""),"",H18/D18)</f>
        <v/>
      </c>
      <c r="S18" s="15">
        <f>IF(OR(A18="",I18="",I18=0,M18=""),"",M18/I18)</f>
        <v/>
      </c>
    </row>
    <row r="19">
      <c r="A19" s="12">
        <f>IF(Classes!B19="","",Classes!B19)</f>
        <v/>
      </c>
      <c r="B19" s="12">
        <f>IF(Classes!B19="","",IF(Classes!C19="","",Classes!C19))</f>
        <v/>
      </c>
      <c r="C19" s="12">
        <f>IF(A19="","",IF(Classes!D19="","",Classes!D19))</f>
        <v/>
      </c>
      <c r="D19" s="8" t="n"/>
      <c r="E19" s="8" t="n"/>
      <c r="F19" s="8" t="n"/>
      <c r="G19" s="8" t="n"/>
      <c r="H19" s="8" t="n"/>
      <c r="I19" s="8" t="n"/>
      <c r="J19" s="8" t="n"/>
      <c r="K19" s="8" t="n"/>
      <c r="L19" s="8" t="n"/>
      <c r="M19" s="8" t="n"/>
      <c r="N19" s="8" t="n"/>
      <c r="O19" s="15">
        <f>IF(OR(A19="",D19="",D19=0),"",(E19+F19+G19)/(3*D19))</f>
        <v/>
      </c>
      <c r="P19" s="15">
        <f>IF(OR(A19="",I19="",I19=0),"",(J19+K19+L19)/(3*I19))</f>
        <v/>
      </c>
      <c r="Q19" s="17">
        <f>IF(OR(O19="",P19=""),"",(P19-O19)*100)</f>
        <v/>
      </c>
      <c r="R19" s="15">
        <f>IF(OR(A19="",D19="",D19=0,H19=""),"",H19/D19)</f>
        <v/>
      </c>
      <c r="S19" s="15">
        <f>IF(OR(A19="",I19="",I19=0,M19=""),"",M19/I19)</f>
        <v/>
      </c>
    </row>
    <row r="20">
      <c r="A20" s="12">
        <f>IF(Classes!B20="","",Classes!B20)</f>
        <v/>
      </c>
      <c r="B20" s="12">
        <f>IF(Classes!B20="","",IF(Classes!C20="","",Classes!C20))</f>
        <v/>
      </c>
      <c r="C20" s="12">
        <f>IF(A20="","",IF(Classes!D20="","",Classes!D20))</f>
        <v/>
      </c>
      <c r="D20" s="8" t="n"/>
      <c r="E20" s="8" t="n"/>
      <c r="F20" s="8" t="n"/>
      <c r="G20" s="8" t="n"/>
      <c r="H20" s="8" t="n"/>
      <c r="I20" s="8" t="n"/>
      <c r="J20" s="8" t="n"/>
      <c r="K20" s="8" t="n"/>
      <c r="L20" s="8" t="n"/>
      <c r="M20" s="8" t="n"/>
      <c r="N20" s="8" t="n"/>
      <c r="O20" s="15">
        <f>IF(OR(A20="",D20="",D20=0),"",(E20+F20+G20)/(3*D20))</f>
        <v/>
      </c>
      <c r="P20" s="15">
        <f>IF(OR(A20="",I20="",I20=0),"",(J20+K20+L20)/(3*I20))</f>
        <v/>
      </c>
      <c r="Q20" s="17">
        <f>IF(OR(O20="",P20=""),"",(P20-O20)*100)</f>
        <v/>
      </c>
      <c r="R20" s="15">
        <f>IF(OR(A20="",D20="",D20=0,H20=""),"",H20/D20)</f>
        <v/>
      </c>
      <c r="S20" s="15">
        <f>IF(OR(A20="",I20="",I20=0,M20=""),"",M20/I20)</f>
        <v/>
      </c>
    </row>
    <row r="21">
      <c r="A21" s="12">
        <f>IF(Classes!B21="","",Classes!B21)</f>
        <v/>
      </c>
      <c r="B21" s="12">
        <f>IF(Classes!B21="","",IF(Classes!C21="","",Classes!C21))</f>
        <v/>
      </c>
      <c r="C21" s="12">
        <f>IF(A21="","",IF(Classes!D21="","",Classes!D21))</f>
        <v/>
      </c>
      <c r="D21" s="8" t="n"/>
      <c r="E21" s="8" t="n"/>
      <c r="F21" s="8" t="n"/>
      <c r="G21" s="8" t="n"/>
      <c r="H21" s="8" t="n"/>
      <c r="I21" s="8" t="n"/>
      <c r="J21" s="8" t="n"/>
      <c r="K21" s="8" t="n"/>
      <c r="L21" s="8" t="n"/>
      <c r="M21" s="8" t="n"/>
      <c r="N21" s="8" t="n"/>
      <c r="O21" s="15">
        <f>IF(OR(A21="",D21="",D21=0),"",(E21+F21+G21)/(3*D21))</f>
        <v/>
      </c>
      <c r="P21" s="15">
        <f>IF(OR(A21="",I21="",I21=0),"",(J21+K21+L21)/(3*I21))</f>
        <v/>
      </c>
      <c r="Q21" s="17">
        <f>IF(OR(O21="",P21=""),"",(P21-O21)*100)</f>
        <v/>
      </c>
      <c r="R21" s="15">
        <f>IF(OR(A21="",D21="",D21=0,H21=""),"",H21/D21)</f>
        <v/>
      </c>
      <c r="S21" s="15">
        <f>IF(OR(A21="",I21="",I21=0,M21=""),"",M21/I21)</f>
        <v/>
      </c>
    </row>
    <row r="22">
      <c r="A22" s="12">
        <f>IF(Classes!B22="","",Classes!B22)</f>
        <v/>
      </c>
      <c r="B22" s="12">
        <f>IF(Classes!B22="","",IF(Classes!C22="","",Classes!C22))</f>
        <v/>
      </c>
      <c r="C22" s="12">
        <f>IF(A22="","",IF(Classes!D22="","",Classes!D22))</f>
        <v/>
      </c>
      <c r="D22" s="8" t="n"/>
      <c r="E22" s="8" t="n"/>
      <c r="F22" s="8" t="n"/>
      <c r="G22" s="8" t="n"/>
      <c r="H22" s="8" t="n"/>
      <c r="I22" s="8" t="n"/>
      <c r="J22" s="8" t="n"/>
      <c r="K22" s="8" t="n"/>
      <c r="L22" s="8" t="n"/>
      <c r="M22" s="8" t="n"/>
      <c r="N22" s="8" t="n"/>
      <c r="O22" s="15">
        <f>IF(OR(A22="",D22="",D22=0),"",(E22+F22+G22)/(3*D22))</f>
        <v/>
      </c>
      <c r="P22" s="15">
        <f>IF(OR(A22="",I22="",I22=0),"",(J22+K22+L22)/(3*I22))</f>
        <v/>
      </c>
      <c r="Q22" s="17">
        <f>IF(OR(O22="",P22=""),"",(P22-O22)*100)</f>
        <v/>
      </c>
      <c r="R22" s="15">
        <f>IF(OR(A22="",D22="",D22=0,H22=""),"",H22/D22)</f>
        <v/>
      </c>
      <c r="S22" s="15">
        <f>IF(OR(A22="",I22="",I22=0,M22=""),"",M22/I22)</f>
        <v/>
      </c>
    </row>
    <row r="23">
      <c r="A23" s="12">
        <f>IF(Classes!B23="","",Classes!B23)</f>
        <v/>
      </c>
      <c r="B23" s="12">
        <f>IF(Classes!B23="","",IF(Classes!C23="","",Classes!C23))</f>
        <v/>
      </c>
      <c r="C23" s="12">
        <f>IF(A23="","",IF(Classes!D23="","",Classes!D23))</f>
        <v/>
      </c>
      <c r="D23" s="8" t="n"/>
      <c r="E23" s="8" t="n"/>
      <c r="F23" s="8" t="n"/>
      <c r="G23" s="8" t="n"/>
      <c r="H23" s="8" t="n"/>
      <c r="I23" s="8" t="n"/>
      <c r="J23" s="8" t="n"/>
      <c r="K23" s="8" t="n"/>
      <c r="L23" s="8" t="n"/>
      <c r="M23" s="8" t="n"/>
      <c r="N23" s="8" t="n"/>
      <c r="O23" s="15">
        <f>IF(OR(A23="",D23="",D23=0),"",(E23+F23+G23)/(3*D23))</f>
        <v/>
      </c>
      <c r="P23" s="15">
        <f>IF(OR(A23="",I23="",I23=0),"",(J23+K23+L23)/(3*I23))</f>
        <v/>
      </c>
      <c r="Q23" s="17">
        <f>IF(OR(O23="",P23=""),"",(P23-O23)*100)</f>
        <v/>
      </c>
      <c r="R23" s="15">
        <f>IF(OR(A23="",D23="",D23=0,H23=""),"",H23/D23)</f>
        <v/>
      </c>
      <c r="S23" s="15">
        <f>IF(OR(A23="",I23="",I23=0,M23=""),"",M23/I23)</f>
        <v/>
      </c>
    </row>
    <row r="24">
      <c r="A24" s="12">
        <f>IF(Classes!B24="","",Classes!B24)</f>
        <v/>
      </c>
      <c r="B24" s="12">
        <f>IF(Classes!B24="","",IF(Classes!C24="","",Classes!C24))</f>
        <v/>
      </c>
      <c r="C24" s="12">
        <f>IF(A24="","",IF(Classes!D24="","",Classes!D24))</f>
        <v/>
      </c>
      <c r="D24" s="8" t="n"/>
      <c r="E24" s="8" t="n"/>
      <c r="F24" s="8" t="n"/>
      <c r="G24" s="8" t="n"/>
      <c r="H24" s="8" t="n"/>
      <c r="I24" s="8" t="n"/>
      <c r="J24" s="8" t="n"/>
      <c r="K24" s="8" t="n"/>
      <c r="L24" s="8" t="n"/>
      <c r="M24" s="8" t="n"/>
      <c r="N24" s="8" t="n"/>
      <c r="O24" s="15">
        <f>IF(OR(A24="",D24="",D24=0),"",(E24+F24+G24)/(3*D24))</f>
        <v/>
      </c>
      <c r="P24" s="15">
        <f>IF(OR(A24="",I24="",I24=0),"",(J24+K24+L24)/(3*I24))</f>
        <v/>
      </c>
      <c r="Q24" s="17">
        <f>IF(OR(O24="",P24=""),"",(P24-O24)*100)</f>
        <v/>
      </c>
      <c r="R24" s="15">
        <f>IF(OR(A24="",D24="",D24=0,H24=""),"",H24/D24)</f>
        <v/>
      </c>
      <c r="S24" s="15">
        <f>IF(OR(A24="",I24="",I24=0,M24=""),"",M24/I24)</f>
        <v/>
      </c>
    </row>
    <row r="25">
      <c r="A25" s="12">
        <f>IF(Classes!B25="","",Classes!B25)</f>
        <v/>
      </c>
      <c r="B25" s="12">
        <f>IF(Classes!B25="","",IF(Classes!C25="","",Classes!C25))</f>
        <v/>
      </c>
      <c r="C25" s="12">
        <f>IF(A25="","",IF(Classes!D25="","",Classes!D25))</f>
        <v/>
      </c>
      <c r="D25" s="8" t="n"/>
      <c r="E25" s="8" t="n"/>
      <c r="F25" s="8" t="n"/>
      <c r="G25" s="8" t="n"/>
      <c r="H25" s="8" t="n"/>
      <c r="I25" s="8" t="n"/>
      <c r="J25" s="8" t="n"/>
      <c r="K25" s="8" t="n"/>
      <c r="L25" s="8" t="n"/>
      <c r="M25" s="8" t="n"/>
      <c r="N25" s="8" t="n"/>
      <c r="O25" s="15">
        <f>IF(OR(A25="",D25="",D25=0),"",(E25+F25+G25)/(3*D25))</f>
        <v/>
      </c>
      <c r="P25" s="15">
        <f>IF(OR(A25="",I25="",I25=0),"",(J25+K25+L25)/(3*I25))</f>
        <v/>
      </c>
      <c r="Q25" s="17">
        <f>IF(OR(O25="",P25=""),"",(P25-O25)*100)</f>
        <v/>
      </c>
      <c r="R25" s="15">
        <f>IF(OR(A25="",D25="",D25=0,H25=""),"",H25/D25)</f>
        <v/>
      </c>
      <c r="S25" s="15">
        <f>IF(OR(A25="",I25="",I25=0,M25=""),"",M25/I25)</f>
        <v/>
      </c>
    </row>
    <row r="26">
      <c r="A26" s="12">
        <f>IF(Classes!B26="","",Classes!B26)</f>
        <v/>
      </c>
      <c r="B26" s="12">
        <f>IF(Classes!B26="","",IF(Classes!C26="","",Classes!C26))</f>
        <v/>
      </c>
      <c r="C26" s="12">
        <f>IF(A26="","",IF(Classes!D26="","",Classes!D26))</f>
        <v/>
      </c>
      <c r="D26" s="8" t="n"/>
      <c r="E26" s="8" t="n"/>
      <c r="F26" s="8" t="n"/>
      <c r="G26" s="8" t="n"/>
      <c r="H26" s="8" t="n"/>
      <c r="I26" s="8" t="n"/>
      <c r="J26" s="8" t="n"/>
      <c r="K26" s="8" t="n"/>
      <c r="L26" s="8" t="n"/>
      <c r="M26" s="8" t="n"/>
      <c r="N26" s="8" t="n"/>
      <c r="O26" s="15">
        <f>IF(OR(A26="",D26="",D26=0),"",(E26+F26+G26)/(3*D26))</f>
        <v/>
      </c>
      <c r="P26" s="15">
        <f>IF(OR(A26="",I26="",I26=0),"",(J26+K26+L26)/(3*I26))</f>
        <v/>
      </c>
      <c r="Q26" s="17">
        <f>IF(OR(O26="",P26=""),"",(P26-O26)*100)</f>
        <v/>
      </c>
      <c r="R26" s="15">
        <f>IF(OR(A26="",D26="",D26=0,H26=""),"",H26/D26)</f>
        <v/>
      </c>
      <c r="S26" s="15">
        <f>IF(OR(A26="",I26="",I26=0,M26=""),"",M26/I26)</f>
        <v/>
      </c>
    </row>
    <row r="27">
      <c r="A27" s="12">
        <f>IF(Classes!B27="","",Classes!B27)</f>
        <v/>
      </c>
      <c r="B27" s="12">
        <f>IF(Classes!B27="","",IF(Classes!C27="","",Classes!C27))</f>
        <v/>
      </c>
      <c r="C27" s="12">
        <f>IF(A27="","",IF(Classes!D27="","",Classes!D27))</f>
        <v/>
      </c>
      <c r="D27" s="8" t="n"/>
      <c r="E27" s="8" t="n"/>
      <c r="F27" s="8" t="n"/>
      <c r="G27" s="8" t="n"/>
      <c r="H27" s="8" t="n"/>
      <c r="I27" s="8" t="n"/>
      <c r="J27" s="8" t="n"/>
      <c r="K27" s="8" t="n"/>
      <c r="L27" s="8" t="n"/>
      <c r="M27" s="8" t="n"/>
      <c r="N27" s="8" t="n"/>
      <c r="O27" s="15">
        <f>IF(OR(A27="",D27="",D27=0),"",(E27+F27+G27)/(3*D27))</f>
        <v/>
      </c>
      <c r="P27" s="15">
        <f>IF(OR(A27="",I27="",I27=0),"",(J27+K27+L27)/(3*I27))</f>
        <v/>
      </c>
      <c r="Q27" s="17">
        <f>IF(OR(O27="",P27=""),"",(P27-O27)*100)</f>
        <v/>
      </c>
      <c r="R27" s="15">
        <f>IF(OR(A27="",D27="",D27=0,H27=""),"",H27/D27)</f>
        <v/>
      </c>
      <c r="S27" s="15">
        <f>IF(OR(A27="",I27="",I27=0,M27=""),"",M27/I27)</f>
        <v/>
      </c>
    </row>
    <row r="28">
      <c r="A28" s="12">
        <f>IF(Classes!B28="","",Classes!B28)</f>
        <v/>
      </c>
      <c r="B28" s="12">
        <f>IF(Classes!B28="","",IF(Classes!C28="","",Classes!C28))</f>
        <v/>
      </c>
      <c r="C28" s="12">
        <f>IF(A28="","",IF(Classes!D28="","",Classes!D28))</f>
        <v/>
      </c>
      <c r="D28" s="8" t="n"/>
      <c r="E28" s="8" t="n"/>
      <c r="F28" s="8" t="n"/>
      <c r="G28" s="8" t="n"/>
      <c r="H28" s="8" t="n"/>
      <c r="I28" s="8" t="n"/>
      <c r="J28" s="8" t="n"/>
      <c r="K28" s="8" t="n"/>
      <c r="L28" s="8" t="n"/>
      <c r="M28" s="8" t="n"/>
      <c r="N28" s="8" t="n"/>
      <c r="O28" s="15">
        <f>IF(OR(A28="",D28="",D28=0),"",(E28+F28+G28)/(3*D28))</f>
        <v/>
      </c>
      <c r="P28" s="15">
        <f>IF(OR(A28="",I28="",I28=0),"",(J28+K28+L28)/(3*I28))</f>
        <v/>
      </c>
      <c r="Q28" s="17">
        <f>IF(OR(O28="",P28=""),"",(P28-O28)*100)</f>
        <v/>
      </c>
      <c r="R28" s="15">
        <f>IF(OR(A28="",D28="",D28=0,H28=""),"",H28/D28)</f>
        <v/>
      </c>
      <c r="S28" s="15">
        <f>IF(OR(A28="",I28="",I28=0,M28=""),"",M28/I28)</f>
        <v/>
      </c>
    </row>
    <row r="29">
      <c r="A29" s="12">
        <f>IF(Classes!B29="","",Classes!B29)</f>
        <v/>
      </c>
      <c r="B29" s="12">
        <f>IF(Classes!B29="","",IF(Classes!C29="","",Classes!C29))</f>
        <v/>
      </c>
      <c r="C29" s="12">
        <f>IF(A29="","",IF(Classes!D29="","",Classes!D29))</f>
        <v/>
      </c>
      <c r="D29" s="8" t="n"/>
      <c r="E29" s="8" t="n"/>
      <c r="F29" s="8" t="n"/>
      <c r="G29" s="8" t="n"/>
      <c r="H29" s="8" t="n"/>
      <c r="I29" s="8" t="n"/>
      <c r="J29" s="8" t="n"/>
      <c r="K29" s="8" t="n"/>
      <c r="L29" s="8" t="n"/>
      <c r="M29" s="8" t="n"/>
      <c r="N29" s="8" t="n"/>
      <c r="O29" s="15">
        <f>IF(OR(A29="",D29="",D29=0),"",(E29+F29+G29)/(3*D29))</f>
        <v/>
      </c>
      <c r="P29" s="15">
        <f>IF(OR(A29="",I29="",I29=0),"",(J29+K29+L29)/(3*I29))</f>
        <v/>
      </c>
      <c r="Q29" s="17">
        <f>IF(OR(O29="",P29=""),"",(P29-O29)*100)</f>
        <v/>
      </c>
      <c r="R29" s="15">
        <f>IF(OR(A29="",D29="",D29=0,H29=""),"",H29/D29)</f>
        <v/>
      </c>
      <c r="S29" s="15">
        <f>IF(OR(A29="",I29="",I29=0,M29=""),"",M29/I29)</f>
        <v/>
      </c>
    </row>
    <row r="30">
      <c r="A30" s="12">
        <f>IF(Classes!B30="","",Classes!B30)</f>
        <v/>
      </c>
      <c r="B30" s="12">
        <f>IF(Classes!B30="","",IF(Classes!C30="","",Classes!C30))</f>
        <v/>
      </c>
      <c r="C30" s="12">
        <f>IF(A30="","",IF(Classes!D30="","",Classes!D30))</f>
        <v/>
      </c>
      <c r="D30" s="8" t="n"/>
      <c r="E30" s="8" t="n"/>
      <c r="F30" s="8" t="n"/>
      <c r="G30" s="8" t="n"/>
      <c r="H30" s="8" t="n"/>
      <c r="I30" s="8" t="n"/>
      <c r="J30" s="8" t="n"/>
      <c r="K30" s="8" t="n"/>
      <c r="L30" s="8" t="n"/>
      <c r="M30" s="8" t="n"/>
      <c r="N30" s="8" t="n"/>
      <c r="O30" s="15">
        <f>IF(OR(A30="",D30="",D30=0),"",(E30+F30+G30)/(3*D30))</f>
        <v/>
      </c>
      <c r="P30" s="15">
        <f>IF(OR(A30="",I30="",I30=0),"",(J30+K30+L30)/(3*I30))</f>
        <v/>
      </c>
      <c r="Q30" s="17">
        <f>IF(OR(O30="",P30=""),"",(P30-O30)*100)</f>
        <v/>
      </c>
      <c r="R30" s="15">
        <f>IF(OR(A30="",D30="",D30=0,H30=""),"",H30/D30)</f>
        <v/>
      </c>
      <c r="S30" s="15">
        <f>IF(OR(A30="",I30="",I30=0,M30=""),"",M30/I30)</f>
        <v/>
      </c>
    </row>
    <row r="31">
      <c r="A31" s="12">
        <f>IF(Classes!B31="","",Classes!B31)</f>
        <v/>
      </c>
      <c r="B31" s="12">
        <f>IF(Classes!B31="","",IF(Classes!C31="","",Classes!C31))</f>
        <v/>
      </c>
      <c r="C31" s="12">
        <f>IF(A31="","",IF(Classes!D31="","",Classes!D31))</f>
        <v/>
      </c>
      <c r="D31" s="8" t="n"/>
      <c r="E31" s="8" t="n"/>
      <c r="F31" s="8" t="n"/>
      <c r="G31" s="8" t="n"/>
      <c r="H31" s="8" t="n"/>
      <c r="I31" s="8" t="n"/>
      <c r="J31" s="8" t="n"/>
      <c r="K31" s="8" t="n"/>
      <c r="L31" s="8" t="n"/>
      <c r="M31" s="8" t="n"/>
      <c r="N31" s="8" t="n"/>
      <c r="O31" s="15">
        <f>IF(OR(A31="",D31="",D31=0),"",(E31+F31+G31)/(3*D31))</f>
        <v/>
      </c>
      <c r="P31" s="15">
        <f>IF(OR(A31="",I31="",I31=0),"",(J31+K31+L31)/(3*I31))</f>
        <v/>
      </c>
      <c r="Q31" s="17">
        <f>IF(OR(O31="",P31=""),"",(P31-O31)*100)</f>
        <v/>
      </c>
      <c r="R31" s="15">
        <f>IF(OR(A31="",D31="",D31=0,H31=""),"",H31/D31)</f>
        <v/>
      </c>
      <c r="S31" s="15">
        <f>IF(OR(A31="",I31="",I31=0,M31=""),"",M31/I31)</f>
        <v/>
      </c>
    </row>
    <row r="32">
      <c r="A32" s="12">
        <f>IF(Classes!B32="","",Classes!B32)</f>
        <v/>
      </c>
      <c r="B32" s="12">
        <f>IF(Classes!B32="","",IF(Classes!C32="","",Classes!C32))</f>
        <v/>
      </c>
      <c r="C32" s="12">
        <f>IF(A32="","",IF(Classes!D32="","",Classes!D32))</f>
        <v/>
      </c>
      <c r="D32" s="8" t="n"/>
      <c r="E32" s="8" t="n"/>
      <c r="F32" s="8" t="n"/>
      <c r="G32" s="8" t="n"/>
      <c r="H32" s="8" t="n"/>
      <c r="I32" s="8" t="n"/>
      <c r="J32" s="8" t="n"/>
      <c r="K32" s="8" t="n"/>
      <c r="L32" s="8" t="n"/>
      <c r="M32" s="8" t="n"/>
      <c r="N32" s="8" t="n"/>
      <c r="O32" s="15">
        <f>IF(OR(A32="",D32="",D32=0),"",(E32+F32+G32)/(3*D32))</f>
        <v/>
      </c>
      <c r="P32" s="15">
        <f>IF(OR(A32="",I32="",I32=0),"",(J32+K32+L32)/(3*I32))</f>
        <v/>
      </c>
      <c r="Q32" s="17">
        <f>IF(OR(O32="",P32=""),"",(P32-O32)*100)</f>
        <v/>
      </c>
      <c r="R32" s="15">
        <f>IF(OR(A32="",D32="",D32=0,H32=""),"",H32/D32)</f>
        <v/>
      </c>
      <c r="S32" s="15">
        <f>IF(OR(A32="",I32="",I32=0,M32=""),"",M32/I32)</f>
        <v/>
      </c>
    </row>
    <row r="33">
      <c r="A33" s="12">
        <f>IF(Classes!B33="","",Classes!B33)</f>
        <v/>
      </c>
      <c r="B33" s="12">
        <f>IF(Classes!B33="","",IF(Classes!C33="","",Classes!C33))</f>
        <v/>
      </c>
      <c r="C33" s="12">
        <f>IF(A33="","",IF(Classes!D33="","",Classes!D33))</f>
        <v/>
      </c>
      <c r="D33" s="8" t="n"/>
      <c r="E33" s="8" t="n"/>
      <c r="F33" s="8" t="n"/>
      <c r="G33" s="8" t="n"/>
      <c r="H33" s="8" t="n"/>
      <c r="I33" s="8" t="n"/>
      <c r="J33" s="8" t="n"/>
      <c r="K33" s="8" t="n"/>
      <c r="L33" s="8" t="n"/>
      <c r="M33" s="8" t="n"/>
      <c r="N33" s="8" t="n"/>
      <c r="O33" s="15">
        <f>IF(OR(A33="",D33="",D33=0),"",(E33+F33+G33)/(3*D33))</f>
        <v/>
      </c>
      <c r="P33" s="15">
        <f>IF(OR(A33="",I33="",I33=0),"",(J33+K33+L33)/(3*I33))</f>
        <v/>
      </c>
      <c r="Q33" s="17">
        <f>IF(OR(O33="",P33=""),"",(P33-O33)*100)</f>
        <v/>
      </c>
      <c r="R33" s="15">
        <f>IF(OR(A33="",D33="",D33=0,H33=""),"",H33/D33)</f>
        <v/>
      </c>
      <c r="S33" s="15">
        <f>IF(OR(A33="",I33="",I33=0,M33=""),"",M33/I33)</f>
        <v/>
      </c>
    </row>
    <row r="34">
      <c r="A34" s="12">
        <f>IF(Classes!B34="","",Classes!B34)</f>
        <v/>
      </c>
      <c r="B34" s="12">
        <f>IF(Classes!B34="","",IF(Classes!C34="","",Classes!C34))</f>
        <v/>
      </c>
      <c r="C34" s="12">
        <f>IF(A34="","",IF(Classes!D34="","",Classes!D34))</f>
        <v/>
      </c>
      <c r="D34" s="8" t="n"/>
      <c r="E34" s="8" t="n"/>
      <c r="F34" s="8" t="n"/>
      <c r="G34" s="8" t="n"/>
      <c r="H34" s="8" t="n"/>
      <c r="I34" s="8" t="n"/>
      <c r="J34" s="8" t="n"/>
      <c r="K34" s="8" t="n"/>
      <c r="L34" s="8" t="n"/>
      <c r="M34" s="8" t="n"/>
      <c r="N34" s="8" t="n"/>
      <c r="O34" s="15">
        <f>IF(OR(A34="",D34="",D34=0),"",(E34+F34+G34)/(3*D34))</f>
        <v/>
      </c>
      <c r="P34" s="15">
        <f>IF(OR(A34="",I34="",I34=0),"",(J34+K34+L34)/(3*I34))</f>
        <v/>
      </c>
      <c r="Q34" s="17">
        <f>IF(OR(O34="",P34=""),"",(P34-O34)*100)</f>
        <v/>
      </c>
      <c r="R34" s="15">
        <f>IF(OR(A34="",D34="",D34=0,H34=""),"",H34/D34)</f>
        <v/>
      </c>
      <c r="S34" s="15">
        <f>IF(OR(A34="",I34="",I34=0,M34=""),"",M34/I34)</f>
        <v/>
      </c>
    </row>
    <row r="35">
      <c r="A35" s="12">
        <f>IF(Classes!B35="","",Classes!B35)</f>
        <v/>
      </c>
      <c r="B35" s="12">
        <f>IF(Classes!B35="","",IF(Classes!C35="","",Classes!C35))</f>
        <v/>
      </c>
      <c r="C35" s="12">
        <f>IF(A35="","",IF(Classes!D35="","",Classes!D35))</f>
        <v/>
      </c>
      <c r="D35" s="8" t="n"/>
      <c r="E35" s="8" t="n"/>
      <c r="F35" s="8" t="n"/>
      <c r="G35" s="8" t="n"/>
      <c r="H35" s="8" t="n"/>
      <c r="I35" s="8" t="n"/>
      <c r="J35" s="8" t="n"/>
      <c r="K35" s="8" t="n"/>
      <c r="L35" s="8" t="n"/>
      <c r="M35" s="8" t="n"/>
      <c r="N35" s="8" t="n"/>
      <c r="O35" s="15">
        <f>IF(OR(A35="",D35="",D35=0),"",(E35+F35+G35)/(3*D35))</f>
        <v/>
      </c>
      <c r="P35" s="15">
        <f>IF(OR(A35="",I35="",I35=0),"",(J35+K35+L35)/(3*I35))</f>
        <v/>
      </c>
      <c r="Q35" s="17">
        <f>IF(OR(O35="",P35=""),"",(P35-O35)*100)</f>
        <v/>
      </c>
      <c r="R35" s="15">
        <f>IF(OR(A35="",D35="",D35=0,H35=""),"",H35/D35)</f>
        <v/>
      </c>
      <c r="S35" s="15">
        <f>IF(OR(A35="",I35="",I35=0,M35=""),"",M35/I35)</f>
        <v/>
      </c>
    </row>
    <row r="36">
      <c r="A36" s="12">
        <f>IF(Classes!B36="","",Classes!B36)</f>
        <v/>
      </c>
      <c r="B36" s="12">
        <f>IF(Classes!B36="","",IF(Classes!C36="","",Classes!C36))</f>
        <v/>
      </c>
      <c r="C36" s="12">
        <f>IF(A36="","",IF(Classes!D36="","",Classes!D36))</f>
        <v/>
      </c>
      <c r="D36" s="8" t="n"/>
      <c r="E36" s="8" t="n"/>
      <c r="F36" s="8" t="n"/>
      <c r="G36" s="8" t="n"/>
      <c r="H36" s="8" t="n"/>
      <c r="I36" s="8" t="n"/>
      <c r="J36" s="8" t="n"/>
      <c r="K36" s="8" t="n"/>
      <c r="L36" s="8" t="n"/>
      <c r="M36" s="8" t="n"/>
      <c r="N36" s="8" t="n"/>
      <c r="O36" s="15">
        <f>IF(OR(A36="",D36="",D36=0),"",(E36+F36+G36)/(3*D36))</f>
        <v/>
      </c>
      <c r="P36" s="15">
        <f>IF(OR(A36="",I36="",I36=0),"",(J36+K36+L36)/(3*I36))</f>
        <v/>
      </c>
      <c r="Q36" s="17">
        <f>IF(OR(O36="",P36=""),"",(P36-O36)*100)</f>
        <v/>
      </c>
      <c r="R36" s="15">
        <f>IF(OR(A36="",D36="",D36=0,H36=""),"",H36/D36)</f>
        <v/>
      </c>
      <c r="S36" s="15">
        <f>IF(OR(A36="",I36="",I36=0,M36=""),"",M36/I36)</f>
        <v/>
      </c>
    </row>
    <row r="37">
      <c r="A37" s="12">
        <f>IF(Classes!B37="","",Classes!B37)</f>
        <v/>
      </c>
      <c r="B37" s="12">
        <f>IF(Classes!B37="","",IF(Classes!C37="","",Classes!C37))</f>
        <v/>
      </c>
      <c r="C37" s="12">
        <f>IF(A37="","",IF(Classes!D37="","",Classes!D37))</f>
        <v/>
      </c>
      <c r="D37" s="8" t="n"/>
      <c r="E37" s="8" t="n"/>
      <c r="F37" s="8" t="n"/>
      <c r="G37" s="8" t="n"/>
      <c r="H37" s="8" t="n"/>
      <c r="I37" s="8" t="n"/>
      <c r="J37" s="8" t="n"/>
      <c r="K37" s="8" t="n"/>
      <c r="L37" s="8" t="n"/>
      <c r="M37" s="8" t="n"/>
      <c r="N37" s="8" t="n"/>
      <c r="O37" s="15">
        <f>IF(OR(A37="",D37="",D37=0),"",(E37+F37+G37)/(3*D37))</f>
        <v/>
      </c>
      <c r="P37" s="15">
        <f>IF(OR(A37="",I37="",I37=0),"",(J37+K37+L37)/(3*I37))</f>
        <v/>
      </c>
      <c r="Q37" s="17">
        <f>IF(OR(O37="",P37=""),"",(P37-O37)*100)</f>
        <v/>
      </c>
      <c r="R37" s="15">
        <f>IF(OR(A37="",D37="",D37=0,H37=""),"",H37/D37)</f>
        <v/>
      </c>
      <c r="S37" s="15">
        <f>IF(OR(A37="",I37="",I37=0,M37=""),"",M37/I37)</f>
        <v/>
      </c>
    </row>
    <row r="38">
      <c r="A38" s="12">
        <f>IF(Classes!B38="","",Classes!B38)</f>
        <v/>
      </c>
      <c r="B38" s="12">
        <f>IF(Classes!B38="","",IF(Classes!C38="","",Classes!C38))</f>
        <v/>
      </c>
      <c r="C38" s="12">
        <f>IF(A38="","",IF(Classes!D38="","",Classes!D38))</f>
        <v/>
      </c>
      <c r="D38" s="8" t="n"/>
      <c r="E38" s="8" t="n"/>
      <c r="F38" s="8" t="n"/>
      <c r="G38" s="8" t="n"/>
      <c r="H38" s="8" t="n"/>
      <c r="I38" s="8" t="n"/>
      <c r="J38" s="8" t="n"/>
      <c r="K38" s="8" t="n"/>
      <c r="L38" s="8" t="n"/>
      <c r="M38" s="8" t="n"/>
      <c r="N38" s="8" t="n"/>
      <c r="O38" s="15">
        <f>IF(OR(A38="",D38="",D38=0),"",(E38+F38+G38)/(3*D38))</f>
        <v/>
      </c>
      <c r="P38" s="15">
        <f>IF(OR(A38="",I38="",I38=0),"",(J38+K38+L38)/(3*I38))</f>
        <v/>
      </c>
      <c r="Q38" s="17">
        <f>IF(OR(O38="",P38=""),"",(P38-O38)*100)</f>
        <v/>
      </c>
      <c r="R38" s="15">
        <f>IF(OR(A38="",D38="",D38=0,H38=""),"",H38/D38)</f>
        <v/>
      </c>
      <c r="S38" s="15">
        <f>IF(OR(A38="",I38="",I38=0,M38=""),"",M38/I38)</f>
        <v/>
      </c>
    </row>
    <row r="39">
      <c r="A39" s="12">
        <f>IF(Classes!B39="","",Classes!B39)</f>
        <v/>
      </c>
      <c r="B39" s="12">
        <f>IF(Classes!B39="","",IF(Classes!C39="","",Classes!C39))</f>
        <v/>
      </c>
      <c r="C39" s="12">
        <f>IF(A39="","",IF(Classes!D39="","",Classes!D39))</f>
        <v/>
      </c>
      <c r="D39" s="8" t="n"/>
      <c r="E39" s="8" t="n"/>
      <c r="F39" s="8" t="n"/>
      <c r="G39" s="8" t="n"/>
      <c r="H39" s="8" t="n"/>
      <c r="I39" s="8" t="n"/>
      <c r="J39" s="8" t="n"/>
      <c r="K39" s="8" t="n"/>
      <c r="L39" s="8" t="n"/>
      <c r="M39" s="8" t="n"/>
      <c r="N39" s="8" t="n"/>
      <c r="O39" s="15">
        <f>IF(OR(A39="",D39="",D39=0),"",(E39+F39+G39)/(3*D39))</f>
        <v/>
      </c>
      <c r="P39" s="15">
        <f>IF(OR(A39="",I39="",I39=0),"",(J39+K39+L39)/(3*I39))</f>
        <v/>
      </c>
      <c r="Q39" s="17">
        <f>IF(OR(O39="",P39=""),"",(P39-O39)*100)</f>
        <v/>
      </c>
      <c r="R39" s="15">
        <f>IF(OR(A39="",D39="",D39=0,H39=""),"",H39/D39)</f>
        <v/>
      </c>
      <c r="S39" s="15">
        <f>IF(OR(A39="",I39="",I39=0,M39=""),"",M39/I39)</f>
        <v/>
      </c>
    </row>
    <row r="40">
      <c r="A40" s="12">
        <f>IF(Classes!B40="","",Classes!B40)</f>
        <v/>
      </c>
      <c r="B40" s="12">
        <f>IF(Classes!B40="","",IF(Classes!C40="","",Classes!C40))</f>
        <v/>
      </c>
      <c r="C40" s="12">
        <f>IF(A40="","",IF(Classes!D40="","",Classes!D40))</f>
        <v/>
      </c>
      <c r="D40" s="8" t="n"/>
      <c r="E40" s="8" t="n"/>
      <c r="F40" s="8" t="n"/>
      <c r="G40" s="8" t="n"/>
      <c r="H40" s="8" t="n"/>
      <c r="I40" s="8" t="n"/>
      <c r="J40" s="8" t="n"/>
      <c r="K40" s="8" t="n"/>
      <c r="L40" s="8" t="n"/>
      <c r="M40" s="8" t="n"/>
      <c r="N40" s="8" t="n"/>
      <c r="O40" s="15">
        <f>IF(OR(A40="",D40="",D40=0),"",(E40+F40+G40)/(3*D40))</f>
        <v/>
      </c>
      <c r="P40" s="15">
        <f>IF(OR(A40="",I40="",I40=0),"",(J40+K40+L40)/(3*I40))</f>
        <v/>
      </c>
      <c r="Q40" s="17">
        <f>IF(OR(O40="",P40=""),"",(P40-O40)*100)</f>
        <v/>
      </c>
      <c r="R40" s="15">
        <f>IF(OR(A40="",D40="",D40=0,H40=""),"",H40/D40)</f>
        <v/>
      </c>
      <c r="S40" s="15">
        <f>IF(OR(A40="",I40="",I40=0,M40=""),"",M40/I40)</f>
        <v/>
      </c>
    </row>
    <row r="41">
      <c r="A41" s="12">
        <f>IF(Classes!B41="","",Classes!B41)</f>
        <v/>
      </c>
      <c r="B41" s="12">
        <f>IF(Classes!B41="","",IF(Classes!C41="","",Classes!C41))</f>
        <v/>
      </c>
      <c r="C41" s="12">
        <f>IF(A41="","",IF(Classes!D41="","",Classes!D41))</f>
        <v/>
      </c>
      <c r="D41" s="8" t="n"/>
      <c r="E41" s="8" t="n"/>
      <c r="F41" s="8" t="n"/>
      <c r="G41" s="8" t="n"/>
      <c r="H41" s="8" t="n"/>
      <c r="I41" s="8" t="n"/>
      <c r="J41" s="8" t="n"/>
      <c r="K41" s="8" t="n"/>
      <c r="L41" s="8" t="n"/>
      <c r="M41" s="8" t="n"/>
      <c r="N41" s="8" t="n"/>
      <c r="O41" s="15">
        <f>IF(OR(A41="",D41="",D41=0),"",(E41+F41+G41)/(3*D41))</f>
        <v/>
      </c>
      <c r="P41" s="15">
        <f>IF(OR(A41="",I41="",I41=0),"",(J41+K41+L41)/(3*I41))</f>
        <v/>
      </c>
      <c r="Q41" s="17">
        <f>IF(OR(O41="",P41=""),"",(P41-O41)*100)</f>
        <v/>
      </c>
      <c r="R41" s="15">
        <f>IF(OR(A41="",D41="",D41=0,H41=""),"",H41/D41)</f>
        <v/>
      </c>
      <c r="S41" s="15">
        <f>IF(OR(A41="",I41="",I41=0,M41=""),"",M41/I41)</f>
        <v/>
      </c>
    </row>
    <row r="42">
      <c r="A42" s="12">
        <f>IF(Classes!B42="","",Classes!B42)</f>
        <v/>
      </c>
      <c r="B42" s="12">
        <f>IF(Classes!B42="","",IF(Classes!C42="","",Classes!C42))</f>
        <v/>
      </c>
      <c r="C42" s="12">
        <f>IF(A42="","",IF(Classes!D42="","",Classes!D42))</f>
        <v/>
      </c>
      <c r="D42" s="8" t="n"/>
      <c r="E42" s="8" t="n"/>
      <c r="F42" s="8" t="n"/>
      <c r="G42" s="8" t="n"/>
      <c r="H42" s="8" t="n"/>
      <c r="I42" s="8" t="n"/>
      <c r="J42" s="8" t="n"/>
      <c r="K42" s="8" t="n"/>
      <c r="L42" s="8" t="n"/>
      <c r="M42" s="8" t="n"/>
      <c r="N42" s="8" t="n"/>
      <c r="O42" s="15">
        <f>IF(OR(A42="",D42="",D42=0),"",(E42+F42+G42)/(3*D42))</f>
        <v/>
      </c>
      <c r="P42" s="15">
        <f>IF(OR(A42="",I42="",I42=0),"",(J42+K42+L42)/(3*I42))</f>
        <v/>
      </c>
      <c r="Q42" s="17">
        <f>IF(OR(O42="",P42=""),"",(P42-O42)*100)</f>
        <v/>
      </c>
      <c r="R42" s="15">
        <f>IF(OR(A42="",D42="",D42=0,H42=""),"",H42/D42)</f>
        <v/>
      </c>
      <c r="S42" s="15">
        <f>IF(OR(A42="",I42="",I42=0,M42=""),"",M42/I42)</f>
        <v/>
      </c>
    </row>
    <row r="43">
      <c r="A43" s="12">
        <f>IF(Classes!B43="","",Classes!B43)</f>
        <v/>
      </c>
      <c r="B43" s="12">
        <f>IF(Classes!B43="","",IF(Classes!C43="","",Classes!C43))</f>
        <v/>
      </c>
      <c r="C43" s="12">
        <f>IF(A43="","",IF(Classes!D43="","",Classes!D43))</f>
        <v/>
      </c>
      <c r="D43" s="8" t="n"/>
      <c r="E43" s="8" t="n"/>
      <c r="F43" s="8" t="n"/>
      <c r="G43" s="8" t="n"/>
      <c r="H43" s="8" t="n"/>
      <c r="I43" s="8" t="n"/>
      <c r="J43" s="8" t="n"/>
      <c r="K43" s="8" t="n"/>
      <c r="L43" s="8" t="n"/>
      <c r="M43" s="8" t="n"/>
      <c r="N43" s="8" t="n"/>
      <c r="O43" s="15">
        <f>IF(OR(A43="",D43="",D43=0),"",(E43+F43+G43)/(3*D43))</f>
        <v/>
      </c>
      <c r="P43" s="15">
        <f>IF(OR(A43="",I43="",I43=0),"",(J43+K43+L43)/(3*I43))</f>
        <v/>
      </c>
      <c r="Q43" s="17">
        <f>IF(OR(O43="",P43=""),"",(P43-O43)*100)</f>
        <v/>
      </c>
      <c r="R43" s="15">
        <f>IF(OR(A43="",D43="",D43=0,H43=""),"",H43/D43)</f>
        <v/>
      </c>
      <c r="S43" s="15">
        <f>IF(OR(A43="",I43="",I43=0,M43=""),"",M43/I43)</f>
        <v/>
      </c>
    </row>
    <row r="44">
      <c r="A44" s="12">
        <f>IF(Classes!B44="","",Classes!B44)</f>
        <v/>
      </c>
      <c r="B44" s="12">
        <f>IF(Classes!B44="","",IF(Classes!C44="","",Classes!C44))</f>
        <v/>
      </c>
      <c r="C44" s="12">
        <f>IF(A44="","",IF(Classes!D44="","",Classes!D44))</f>
        <v/>
      </c>
      <c r="D44" s="8" t="n"/>
      <c r="E44" s="8" t="n"/>
      <c r="F44" s="8" t="n"/>
      <c r="G44" s="8" t="n"/>
      <c r="H44" s="8" t="n"/>
      <c r="I44" s="8" t="n"/>
      <c r="J44" s="8" t="n"/>
      <c r="K44" s="8" t="n"/>
      <c r="L44" s="8" t="n"/>
      <c r="M44" s="8" t="n"/>
      <c r="N44" s="8" t="n"/>
      <c r="O44" s="15">
        <f>IF(OR(A44="",D44="",D44=0),"",(E44+F44+G44)/(3*D44))</f>
        <v/>
      </c>
      <c r="P44" s="15">
        <f>IF(OR(A44="",I44="",I44=0),"",(J44+K44+L44)/(3*I44))</f>
        <v/>
      </c>
      <c r="Q44" s="17">
        <f>IF(OR(O44="",P44=""),"",(P44-O44)*100)</f>
        <v/>
      </c>
      <c r="R44" s="15">
        <f>IF(OR(A44="",D44="",D44=0,H44=""),"",H44/D44)</f>
        <v/>
      </c>
      <c r="S44" s="15">
        <f>IF(OR(A44="",I44="",I44=0,M44=""),"",M44/I44)</f>
        <v/>
      </c>
    </row>
    <row r="45">
      <c r="A45" s="12">
        <f>IF(Classes!B45="","",Classes!B45)</f>
        <v/>
      </c>
      <c r="B45" s="12">
        <f>IF(Classes!B45="","",IF(Classes!C45="","",Classes!C45))</f>
        <v/>
      </c>
      <c r="C45" s="12">
        <f>IF(A45="","",IF(Classes!D45="","",Classes!D45))</f>
        <v/>
      </c>
      <c r="D45" s="8" t="n"/>
      <c r="E45" s="8" t="n"/>
      <c r="F45" s="8" t="n"/>
      <c r="G45" s="8" t="n"/>
      <c r="H45" s="8" t="n"/>
      <c r="I45" s="8" t="n"/>
      <c r="J45" s="8" t="n"/>
      <c r="K45" s="8" t="n"/>
      <c r="L45" s="8" t="n"/>
      <c r="M45" s="8" t="n"/>
      <c r="N45" s="8" t="n"/>
      <c r="O45" s="15">
        <f>IF(OR(A45="",D45="",D45=0),"",(E45+F45+G45)/(3*D45))</f>
        <v/>
      </c>
      <c r="P45" s="15">
        <f>IF(OR(A45="",I45="",I45=0),"",(J45+K45+L45)/(3*I45))</f>
        <v/>
      </c>
      <c r="Q45" s="17">
        <f>IF(OR(O45="",P45=""),"",(P45-O45)*100)</f>
        <v/>
      </c>
      <c r="R45" s="15">
        <f>IF(OR(A45="",D45="",D45=0,H45=""),"",H45/D45)</f>
        <v/>
      </c>
      <c r="S45" s="15">
        <f>IF(OR(A45="",I45="",I45=0,M45=""),"",M45/I45)</f>
        <v/>
      </c>
    </row>
  </sheetData>
  <sheetProtection selectLockedCells="0" selectUnlockedCells="0" sheet="1" objects="0" insertRows="1" insertHyperlinks="1" autoFilter="0" scenarios="0" formatColumns="0" deleteColumns="1" insertColumns="1" pivotTables="1" deleteRows="1" formatCells="1" formatRows="0" sort="0"/>
  <mergeCells count="2">
    <mergeCell ref="A3:S3"/>
    <mergeCell ref="A2:S2"/>
  </mergeCells>
  <conditionalFormatting sqref="Q6:Q45">
    <cfRule type="cellIs" priority="1" operator="greaterThan" dxfId="1">
      <formula>0</formula>
    </cfRule>
    <cfRule type="cellIs" priority="2" operator="lessThan" dxfId="6">
      <formula>0</formula>
    </cfRule>
  </conditionalFormatting>
  <dataValidations count="5">
    <dataValidation sqref="D6:D45" showDropDown="0" showInputMessage="1" showErrorMessage="1" allowBlank="1" errorTitle="Check this entry" error="A count cannot be larger than the number of students enrolled." promptTitle="Students who answered" prompt="A count. It cannot be larger than the number enrolled." type="custom" errorStyle="stop">
      <formula1>OR($C6="",D6&lt;=$C6)</formula1>
    </dataValidation>
    <dataValidation sqref="I6:I45" showDropDown="0" showInputMessage="1" showErrorMessage="1" allowBlank="1" errorTitle="Check this entry" error="A count cannot be larger than the number of students enrolled." promptTitle="Students who answered" prompt="A count. It cannot be larger than the number enrolled." type="custom" errorStyle="stop">
      <formula1>OR($C6="",I6&lt;=$C6)</formula1>
    </dataValidation>
    <dataValidation sqref="E6:H45" showDropDown="0" showInputMessage="1" showErrorMessage="1" allowBlank="1" errorTitle="Check this entry" error="A count cannot be larger than the number who answered." promptTitle="Count" prompt="A count. It cannot be larger than the students who answered." type="custom" errorStyle="stop">
      <formula1>E6&lt;=$D6</formula1>
    </dataValidation>
    <dataValidation sqref="J6:M45" showDropDown="0" showInputMessage="1" showErrorMessage="1" allowBlank="1" errorTitle="Check this entry" error="A count cannot be larger than the number who answered." promptTitle="Count" prompt="A count. It cannot be larger than the students who answered." type="custom" errorStyle="stop">
      <formula1>J6&lt;=$I6</formula1>
    </dataValidation>
    <dataValidation sqref="N6:N45" showDropDown="0" showInputMessage="1" showErrorMessage="1" allowBlank="1" errorTitle="Check this entry" error="Cannot be larger than the pre or the post count." promptTitle="Matched pairs" prompt="Students with both a pre and a post survey. A count." type="custom" errorStyle="stop">
      <formula1>N6&lt;=MIN($D6,$I6)</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7.xml><?xml version="1.0" encoding="utf-8"?>
<worksheet xmlns="http://schemas.openxmlformats.org/spreadsheetml/2006/main">
  <sheetPr>
    <tabColor rgb="00FF8A3D"/>
    <outlinePr summaryBelow="1" summaryRight="1"/>
    <pageSetUpPr fitToPage="1"/>
  </sheetPr>
  <dimension ref="A1:R12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40" customWidth="1" min="3" max="3"/>
    <col width="12" customWidth="1" min="4" max="4"/>
    <col width="14" customWidth="1" min="5" max="5"/>
    <col width="9" customWidth="1" min="6" max="6"/>
    <col width="9" customWidth="1" min="7" max="7"/>
    <col width="11" customWidth="1" min="8" max="8"/>
    <col width="12" customWidth="1" min="9" max="9"/>
    <col width="10" customWidth="1" min="10" max="10"/>
    <col width="11" customWidth="1" min="11" max="11"/>
    <col width="11" customWidth="1" min="12" max="12"/>
    <col width="9" customWidth="1" min="13" max="13"/>
    <col width="11" customWidth="1" min="14" max="14"/>
    <col width="13" customWidth="1" min="15" max="15"/>
    <col width="11" customWidth="1" min="16" max="16"/>
    <col width="11" customWidth="1" min="17" max="17"/>
    <col width="10" customWidth="1" min="18" max="18"/>
  </cols>
  <sheetData>
    <row r="1">
      <c r="A1" s="5" t="inlineStr">
        <is>
          <t>Sensitive lessons: notices, opt-outs and support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One row each time a sensitive lesson is taught in a class. Pick the class and the lesson. Dates are the dates on the calendar. Everything else is a count. Never record which family opted out or which child spoke to the counselor. Include the disclosure, referral and report counts only if your policy permits.</t>
        </is>
      </c>
    </row>
    <row r="5" ht="62" customHeight="1">
      <c r="A5" s="11" t="inlineStr">
        <is>
          <t>Class</t>
        </is>
      </c>
      <c r="B5" s="11" t="inlineStr">
        <is>
          <t>Band (from lesson)</t>
        </is>
      </c>
      <c r="C5" s="11" t="inlineStr">
        <is>
          <t>Sensitive lesson</t>
        </is>
      </c>
      <c r="D5" s="11" t="inlineStr">
        <is>
          <t>Lesson date</t>
        </is>
      </c>
      <c r="E5" s="11" t="inlineStr">
        <is>
          <t>Family notice sent (date)</t>
        </is>
      </c>
      <c r="F5" s="11" t="inlineStr">
        <is>
          <t>Days of notice</t>
        </is>
      </c>
      <c r="G5" s="11" t="inlineStr">
        <is>
          <t>Notice check</t>
        </is>
      </c>
      <c r="H5" s="11" t="inlineStr">
        <is>
          <t>Counselor heads-up sent</t>
        </is>
      </c>
      <c r="I5" s="11" t="inlineStr">
        <is>
          <t>Counselor available during lesson</t>
        </is>
      </c>
      <c r="J5" s="11" t="inlineStr">
        <is>
          <t>Students enrolled</t>
        </is>
      </c>
      <c r="K5" s="11" t="inlineStr">
        <is>
          <t>Opt-out requests (count)</t>
        </is>
      </c>
      <c r="L5" s="11" t="inlineStr">
        <is>
          <t>Alternate activity offered</t>
        </is>
      </c>
      <c r="M5" s="11" t="inlineStr">
        <is>
          <t>Opt-out rate</t>
        </is>
      </c>
      <c r="N5" s="11" t="inlineStr">
        <is>
          <t>Students who asked to talk (count)</t>
        </is>
      </c>
      <c r="O5" s="11" t="inlineStr">
        <is>
          <t>Concerns or disclosures raised (count)</t>
        </is>
      </c>
      <c r="P5" s="11" t="inlineStr">
        <is>
          <t>Referred to counselor (count)</t>
        </is>
      </c>
      <c r="Q5" s="11" t="inlineStr">
        <is>
          <t>Reports made as required (count)</t>
        </is>
      </c>
      <c r="R5" s="11" t="inlineStr">
        <is>
          <t>Issues to review</t>
        </is>
      </c>
    </row>
    <row r="6">
      <c r="A6" s="8" t="inlineStr">
        <is>
          <t>Rm 101</t>
        </is>
      </c>
      <c r="B6" s="12">
        <f>IF(C6="","",LEFT(C6,FIND(" |",C6)-1))</f>
        <v/>
      </c>
      <c r="C6" s="8" t="inlineStr">
        <is>
          <t>Gr K-2 | L6 Online Friends vs. Real Friends</t>
        </is>
      </c>
      <c r="D6" s="18" t="n">
        <v>46338</v>
      </c>
      <c r="E6" s="18" t="n">
        <v>46322</v>
      </c>
      <c r="F6" s="14">
        <f>IF(OR(D6="",E6=""),"",D6-E6)</f>
        <v/>
      </c>
      <c r="G6" s="12">
        <f>IF(F6="","",IF(F6&gt;=Setup!$B$8,"OK","Short"))</f>
        <v/>
      </c>
      <c r="H6" s="8" t="inlineStr">
        <is>
          <t>Yes</t>
        </is>
      </c>
      <c r="I6" s="8" t="inlineStr">
        <is>
          <t>Yes</t>
        </is>
      </c>
      <c r="J6" s="14">
        <f>IF(OR(A6="",C6=""),"",IFERROR(INDEX(Classes!$D$6:$D$45,MATCH(A6,Classes!$B$6:$B$45,0)),""))</f>
        <v/>
      </c>
      <c r="K6" s="8" t="n">
        <v>1</v>
      </c>
      <c r="L6" s="8" t="inlineStr">
        <is>
          <t>Yes</t>
        </is>
      </c>
      <c r="M6" s="15">
        <f>IF(OR(J6="",J6=0,K6=""),"",K6/J6)</f>
        <v/>
      </c>
      <c r="N6" s="8" t="n">
        <v>2</v>
      </c>
      <c r="O6" s="8" t="n">
        <v>1</v>
      </c>
      <c r="P6" s="8" t="n">
        <v>1</v>
      </c>
      <c r="Q6" s="8" t="n">
        <v>0</v>
      </c>
      <c r="R6" s="14">
        <f>IF(C6="","",IF(A6="",1,0)+IF(J6="",1,0)+IF(AND(J6&lt;&gt;"",K6&lt;&gt;""),IF(K6&gt;J6,1,0),0)+IF(G6="Short",1,0)+IF(I6="No",1,0)+IF(IFERROR(INDEX(Classes!$C$6:$C$45,MATCH(A6,Classes!$B$6:$B$45,0)),"")&lt;&gt;B6,1,0))</f>
        <v/>
      </c>
    </row>
    <row r="7">
      <c r="A7" s="8" t="inlineStr">
        <is>
          <t>Rm 104</t>
        </is>
      </c>
      <c r="B7" s="12">
        <f>IF(C7="","",LEFT(C7,FIND(" |",C7)-1))</f>
        <v/>
      </c>
      <c r="C7" s="8" t="inlineStr">
        <is>
          <t>Gr K-2 | L6 Online Friends vs. Real Friends</t>
        </is>
      </c>
      <c r="D7" s="18" t="n">
        <v>46339</v>
      </c>
      <c r="E7" s="18" t="n">
        <v>46322</v>
      </c>
      <c r="F7" s="14">
        <f>IF(OR(D7="",E7=""),"",D7-E7)</f>
        <v/>
      </c>
      <c r="G7" s="12">
        <f>IF(F7="","",IF(F7&gt;=Setup!$B$8,"OK","Short"))</f>
        <v/>
      </c>
      <c r="H7" s="8" t="inlineStr">
        <is>
          <t>Yes</t>
        </is>
      </c>
      <c r="I7" s="8" t="inlineStr">
        <is>
          <t>Yes</t>
        </is>
      </c>
      <c r="J7" s="14">
        <f>IF(OR(A7="",C7=""),"",IFERROR(INDEX(Classes!$D$6:$D$45,MATCH(A7,Classes!$B$6:$B$45,0)),""))</f>
        <v/>
      </c>
      <c r="K7" s="8" t="n">
        <v>0</v>
      </c>
      <c r="L7" s="8" t="inlineStr">
        <is>
          <t>Yes</t>
        </is>
      </c>
      <c r="M7" s="15">
        <f>IF(OR(J7="",J7=0,K7=""),"",K7/J7)</f>
        <v/>
      </c>
      <c r="N7" s="8" t="n">
        <v>1</v>
      </c>
      <c r="O7" s="8" t="n">
        <v>0</v>
      </c>
      <c r="P7" s="8" t="n">
        <v>0</v>
      </c>
      <c r="Q7" s="8" t="n">
        <v>0</v>
      </c>
      <c r="R7" s="14">
        <f>IF(C7="","",IF(A7="",1,0)+IF(J7="",1,0)+IF(AND(J7&lt;&gt;"",K7&lt;&gt;""),IF(K7&gt;J7,1,0),0)+IF(G7="Short",1,0)+IF(I7="No",1,0)+IF(IFERROR(INDEX(Classes!$C$6:$C$45,MATCH(A7,Classes!$B$6:$B$45,0)),"")&lt;&gt;B7,1,0))</f>
        <v/>
      </c>
    </row>
    <row r="8">
      <c r="A8" s="8" t="inlineStr">
        <is>
          <t>Rm 301</t>
        </is>
      </c>
      <c r="B8" s="12">
        <f>IF(C8="","",LEFT(C8,FIND(" |",C8)-1))</f>
        <v/>
      </c>
      <c r="C8" s="8" t="inlineStr">
        <is>
          <t>Gr 3-5 | L1 The Help Ladder</t>
        </is>
      </c>
      <c r="D8" s="18" t="n">
        <v>46309</v>
      </c>
      <c r="E8" s="18" t="n">
        <v>46293</v>
      </c>
      <c r="F8" s="14">
        <f>IF(OR(D8="",E8=""),"",D8-E8)</f>
        <v/>
      </c>
      <c r="G8" s="12">
        <f>IF(F8="","",IF(F8&gt;=Setup!$B$8,"OK","Short"))</f>
        <v/>
      </c>
      <c r="H8" s="8" t="inlineStr">
        <is>
          <t>Yes</t>
        </is>
      </c>
      <c r="I8" s="8" t="inlineStr">
        <is>
          <t>Yes</t>
        </is>
      </c>
      <c r="J8" s="14">
        <f>IF(OR(A8="",C8=""),"",IFERROR(INDEX(Classes!$D$6:$D$45,MATCH(A8,Classes!$B$6:$B$45,0)),""))</f>
        <v/>
      </c>
      <c r="K8" s="8" t="n">
        <v>0</v>
      </c>
      <c r="L8" s="8" t="inlineStr">
        <is>
          <t>Yes</t>
        </is>
      </c>
      <c r="M8" s="15">
        <f>IF(OR(J8="",J8=0,K8=""),"",K8/J8)</f>
        <v/>
      </c>
      <c r="N8" s="8" t="n">
        <v>3</v>
      </c>
      <c r="O8" s="8" t="n">
        <v>1</v>
      </c>
      <c r="P8" s="8" t="n">
        <v>1</v>
      </c>
      <c r="Q8" s="8" t="n">
        <v>1</v>
      </c>
      <c r="R8" s="14">
        <f>IF(C8="","",IF(A8="",1,0)+IF(J8="",1,0)+IF(AND(J8&lt;&gt;"",K8&lt;&gt;""),IF(K8&gt;J8,1,0),0)+IF(G8="Short",1,0)+IF(I8="No",1,0)+IF(IFERROR(INDEX(Classes!$C$6:$C$45,MATCH(A8,Classes!$B$6:$B$45,0)),"")&lt;&gt;B8,1,0))</f>
        <v/>
      </c>
    </row>
    <row r="9">
      <c r="A9" s="8" t="inlineStr">
        <is>
          <t>Rm 305</t>
        </is>
      </c>
      <c r="B9" s="12">
        <f>IF(C9="","",LEFT(C9,FIND(" |",C9)-1))</f>
        <v/>
      </c>
      <c r="C9" s="8" t="inlineStr">
        <is>
          <t>Gr 3-5 | L1 The Help Ladder</t>
        </is>
      </c>
      <c r="D9" s="18" t="n">
        <v>46310</v>
      </c>
      <c r="E9" s="18" t="n">
        <v>46302</v>
      </c>
      <c r="F9" s="14">
        <f>IF(OR(D9="",E9=""),"",D9-E9)</f>
        <v/>
      </c>
      <c r="G9" s="12">
        <f>IF(F9="","",IF(F9&gt;=Setup!$B$8,"OK","Short"))</f>
        <v/>
      </c>
      <c r="H9" s="8" t="inlineStr">
        <is>
          <t>Yes</t>
        </is>
      </c>
      <c r="I9" s="8" t="inlineStr">
        <is>
          <t>Yes</t>
        </is>
      </c>
      <c r="J9" s="14">
        <f>IF(OR(A9="",C9=""),"",IFERROR(INDEX(Classes!$D$6:$D$45,MATCH(A9,Classes!$B$6:$B$45,0)),""))</f>
        <v/>
      </c>
      <c r="K9" s="8" t="n">
        <v>1</v>
      </c>
      <c r="L9" s="8" t="inlineStr">
        <is>
          <t>Yes</t>
        </is>
      </c>
      <c r="M9" s="15">
        <f>IF(OR(J9="",J9=0,K9=""),"",K9/J9)</f>
        <v/>
      </c>
      <c r="N9" s="8" t="n">
        <v>0</v>
      </c>
      <c r="O9" s="8" t="n">
        <v>0</v>
      </c>
      <c r="P9" s="8" t="n">
        <v>0</v>
      </c>
      <c r="Q9" s="8" t="n">
        <v>0</v>
      </c>
      <c r="R9" s="14">
        <f>IF(C9="","",IF(A9="",1,0)+IF(J9="",1,0)+IF(AND(J9&lt;&gt;"",K9&lt;&gt;""),IF(K9&gt;J9,1,0),0)+IF(G9="Short",1,0)+IF(I9="No",1,0)+IF(IFERROR(INDEX(Classes!$C$6:$C$45,MATCH(A9,Classes!$B$6:$B$45,0)),"")&lt;&gt;B9,1,0))</f>
        <v/>
      </c>
    </row>
    <row r="10">
      <c r="A10" s="8" t="inlineStr">
        <is>
          <t>Per 2</t>
        </is>
      </c>
      <c r="B10" s="12">
        <f>IF(C10="","",LEFT(C10,FIND(" |",C10)-1))</f>
        <v/>
      </c>
      <c r="C10" s="8" t="inlineStr">
        <is>
          <t>Gr 6-8 | L6 Grooming Patterns</t>
        </is>
      </c>
      <c r="D10" s="18" t="n">
        <v>46345</v>
      </c>
      <c r="E10" s="18" t="n">
        <v>46328</v>
      </c>
      <c r="F10" s="14">
        <f>IF(OR(D10="",E10=""),"",D10-E10)</f>
        <v/>
      </c>
      <c r="G10" s="12">
        <f>IF(F10="","",IF(F10&gt;=Setup!$B$8,"OK","Short"))</f>
        <v/>
      </c>
      <c r="H10" s="8" t="inlineStr">
        <is>
          <t>Yes</t>
        </is>
      </c>
      <c r="I10" s="8" t="inlineStr">
        <is>
          <t>Yes</t>
        </is>
      </c>
      <c r="J10" s="14">
        <f>IF(OR(A10="",C10=""),"",IFERROR(INDEX(Classes!$D$6:$D$45,MATCH(A10,Classes!$B$6:$B$45,0)),""))</f>
        <v/>
      </c>
      <c r="K10" s="8" t="n">
        <v>2</v>
      </c>
      <c r="L10" s="8" t="inlineStr">
        <is>
          <t>Yes</t>
        </is>
      </c>
      <c r="M10" s="15">
        <f>IF(OR(J10="",J10=0,K10=""),"",K10/J10)</f>
        <v/>
      </c>
      <c r="N10" s="8" t="n">
        <v>4</v>
      </c>
      <c r="O10" s="8" t="n">
        <v>2</v>
      </c>
      <c r="P10" s="8" t="n">
        <v>2</v>
      </c>
      <c r="Q10" s="8" t="n">
        <v>1</v>
      </c>
      <c r="R10" s="14">
        <f>IF(C10="","",IF(A10="",1,0)+IF(J10="",1,0)+IF(AND(J10&lt;&gt;"",K10&lt;&gt;""),IF(K10&gt;J10,1,0),0)+IF(G10="Short",1,0)+IF(I10="No",1,0)+IF(IFERROR(INDEX(Classes!$C$6:$C$45,MATCH(A10,Classes!$B$6:$B$45,0)),"")&lt;&gt;B10,1,0))</f>
        <v/>
      </c>
    </row>
    <row r="11">
      <c r="A11" s="8" t="inlineStr">
        <is>
          <t>Per 5</t>
        </is>
      </c>
      <c r="B11" s="12">
        <f>IF(C11="","",LEFT(C11,FIND(" |",C11)-1))</f>
        <v/>
      </c>
      <c r="C11" s="8" t="inlineStr">
        <is>
          <t>Gr 6-8 | L6 Grooming Patterns</t>
        </is>
      </c>
      <c r="D11" s="18" t="n">
        <v>46346</v>
      </c>
      <c r="E11" s="18" t="n">
        <v>46328</v>
      </c>
      <c r="F11" s="14">
        <f>IF(OR(D11="",E11=""),"",D11-E11)</f>
        <v/>
      </c>
      <c r="G11" s="12">
        <f>IF(F11="","",IF(F11&gt;=Setup!$B$8,"OK","Short"))</f>
        <v/>
      </c>
      <c r="H11" s="8" t="inlineStr">
        <is>
          <t>Yes</t>
        </is>
      </c>
      <c r="I11" s="8" t="inlineStr">
        <is>
          <t>Yes</t>
        </is>
      </c>
      <c r="J11" s="14">
        <f>IF(OR(A11="",C11=""),"",IFERROR(INDEX(Classes!$D$6:$D$45,MATCH(A11,Classes!$B$6:$B$45,0)),""))</f>
        <v/>
      </c>
      <c r="K11" s="8" t="n">
        <v>1</v>
      </c>
      <c r="L11" s="8" t="inlineStr">
        <is>
          <t>Yes</t>
        </is>
      </c>
      <c r="M11" s="15">
        <f>IF(OR(J11="",J11=0,K11=""),"",K11/J11)</f>
        <v/>
      </c>
      <c r="N11" s="8" t="n">
        <v>2</v>
      </c>
      <c r="O11" s="8" t="n">
        <v>0</v>
      </c>
      <c r="P11" s="8" t="n">
        <v>0</v>
      </c>
      <c r="Q11" s="8" t="n">
        <v>0</v>
      </c>
      <c r="R11" s="14">
        <f>IF(C11="","",IF(A11="",1,0)+IF(J11="",1,0)+IF(AND(J11&lt;&gt;"",K11&lt;&gt;""),IF(K11&gt;J11,1,0),0)+IF(G11="Short",1,0)+IF(I11="No",1,0)+IF(IFERROR(INDEX(Classes!$C$6:$C$45,MATCH(A11,Classes!$B$6:$B$45,0)),"")&lt;&gt;B11,1,0))</f>
        <v/>
      </c>
    </row>
    <row r="12">
      <c r="A12" s="8" t="inlineStr">
        <is>
          <t>Per 2</t>
        </is>
      </c>
      <c r="B12" s="12">
        <f>IF(C12="","",LEFT(C12,FIND(" |",C12)-1))</f>
        <v/>
      </c>
      <c r="C12" s="8" t="inlineStr">
        <is>
          <t>Gr 6-8 | L7 Pressure Online: Response Drill</t>
        </is>
      </c>
      <c r="D12" s="18" t="n">
        <v>46359</v>
      </c>
      <c r="E12" s="18" t="n">
        <v>46344</v>
      </c>
      <c r="F12" s="14">
        <f>IF(OR(D12="",E12=""),"",D12-E12)</f>
        <v/>
      </c>
      <c r="G12" s="12">
        <f>IF(F12="","",IF(F12&gt;=Setup!$B$8,"OK","Short"))</f>
        <v/>
      </c>
      <c r="H12" s="8" t="inlineStr">
        <is>
          <t>Yes</t>
        </is>
      </c>
      <c r="I12" s="8" t="inlineStr">
        <is>
          <t>Yes</t>
        </is>
      </c>
      <c r="J12" s="14">
        <f>IF(OR(A12="",C12=""),"",IFERROR(INDEX(Classes!$D$6:$D$45,MATCH(A12,Classes!$B$6:$B$45,0)),""))</f>
        <v/>
      </c>
      <c r="K12" s="8" t="n">
        <v>3</v>
      </c>
      <c r="L12" s="8" t="inlineStr">
        <is>
          <t>Yes</t>
        </is>
      </c>
      <c r="M12" s="15">
        <f>IF(OR(J12="",J12=0,K12=""),"",K12/J12)</f>
        <v/>
      </c>
      <c r="N12" s="8" t="n">
        <v>5</v>
      </c>
      <c r="O12" s="8" t="n">
        <v>1</v>
      </c>
      <c r="P12" s="8" t="n">
        <v>1</v>
      </c>
      <c r="Q12" s="8" t="n">
        <v>1</v>
      </c>
      <c r="R12" s="14">
        <f>IF(C12="","",IF(A12="",1,0)+IF(J12="",1,0)+IF(AND(J12&lt;&gt;"",K12&lt;&gt;""),IF(K12&gt;J12,1,0),0)+IF(G12="Short",1,0)+IF(I12="No",1,0)+IF(IFERROR(INDEX(Classes!$C$6:$C$45,MATCH(A12,Classes!$B$6:$B$45,0)),"")&lt;&gt;B12,1,0))</f>
        <v/>
      </c>
    </row>
    <row r="13">
      <c r="A13" s="8" t="inlineStr">
        <is>
          <t>Adv 9A</t>
        </is>
      </c>
      <c r="B13" s="12">
        <f>IF(C13="","",LEFT(C13,FIND(" |",C13)-1))</f>
        <v/>
      </c>
      <c r="C13" s="8" t="inlineStr">
        <is>
          <t>Gr 9-12 | L5 Sextortion and Image Abuse</t>
        </is>
      </c>
      <c r="D13" s="18" t="n">
        <v>46364</v>
      </c>
      <c r="E13" s="18" t="n">
        <v>46349</v>
      </c>
      <c r="F13" s="14">
        <f>IF(OR(D13="",E13=""),"",D13-E13)</f>
        <v/>
      </c>
      <c r="G13" s="12">
        <f>IF(F13="","",IF(F13&gt;=Setup!$B$8,"OK","Short"))</f>
        <v/>
      </c>
      <c r="H13" s="8" t="inlineStr">
        <is>
          <t>Yes</t>
        </is>
      </c>
      <c r="I13" s="8" t="inlineStr">
        <is>
          <t>No</t>
        </is>
      </c>
      <c r="J13" s="14">
        <f>IF(OR(A13="",C13=""),"",IFERROR(INDEX(Classes!$D$6:$D$45,MATCH(A13,Classes!$B$6:$B$45,0)),""))</f>
        <v/>
      </c>
      <c r="K13" s="8" t="n">
        <v>1</v>
      </c>
      <c r="L13" s="8" t="inlineStr">
        <is>
          <t>Yes</t>
        </is>
      </c>
      <c r="M13" s="15">
        <f>IF(OR(J13="",J13=0,K13=""),"",K13/J13)</f>
        <v/>
      </c>
      <c r="N13" s="8" t="n">
        <v>1</v>
      </c>
      <c r="O13" s="8" t="n">
        <v>0</v>
      </c>
      <c r="P13" s="8" t="n">
        <v>0</v>
      </c>
      <c r="Q13" s="8" t="n">
        <v>0</v>
      </c>
      <c r="R13" s="14">
        <f>IF(C13="","",IF(A13="",1,0)+IF(J13="",1,0)+IF(AND(J13&lt;&gt;"",K13&lt;&gt;""),IF(K13&gt;J13,1,0),0)+IF(G13="Short",1,0)+IF(I13="No",1,0)+IF(IFERROR(INDEX(Classes!$C$6:$C$45,MATCH(A13,Classes!$B$6:$B$45,0)),"")&lt;&gt;B13,1,0))</f>
        <v/>
      </c>
    </row>
    <row r="14">
      <c r="A14" s="8" t="n"/>
      <c r="B14" s="12">
        <f>IF(C14="","",LEFT(C14,FIND(" |",C14)-1))</f>
        <v/>
      </c>
      <c r="C14" s="8" t="n"/>
      <c r="D14" s="18" t="n"/>
      <c r="E14" s="18" t="n"/>
      <c r="F14" s="14">
        <f>IF(OR(D14="",E14=""),"",D14-E14)</f>
        <v/>
      </c>
      <c r="G14" s="12">
        <f>IF(F14="","",IF(F14&gt;=Setup!$B$8,"OK","Short"))</f>
        <v/>
      </c>
      <c r="H14" s="8" t="n"/>
      <c r="I14" s="8" t="n"/>
      <c r="J14" s="14">
        <f>IF(OR(A14="",C14=""),"",IFERROR(INDEX(Classes!$D$6:$D$45,MATCH(A14,Classes!$B$6:$B$45,0)),""))</f>
        <v/>
      </c>
      <c r="K14" s="8" t="n"/>
      <c r="L14" s="8" t="n"/>
      <c r="M14" s="15">
        <f>IF(OR(J14="",J14=0,K14=""),"",K14/J14)</f>
        <v/>
      </c>
      <c r="N14" s="8" t="n"/>
      <c r="O14" s="8" t="n"/>
      <c r="P14" s="8" t="n"/>
      <c r="Q14" s="8" t="n"/>
      <c r="R14" s="14">
        <f>IF(C14="","",IF(A14="",1,0)+IF(J14="",1,0)+IF(AND(J14&lt;&gt;"",K14&lt;&gt;""),IF(K14&gt;J14,1,0),0)+IF(G14="Short",1,0)+IF(I14="No",1,0)+IF(IFERROR(INDEX(Classes!$C$6:$C$45,MATCH(A14,Classes!$B$6:$B$45,0)),"")&lt;&gt;B14,1,0))</f>
        <v/>
      </c>
    </row>
    <row r="15">
      <c r="A15" s="8" t="n"/>
      <c r="B15" s="12">
        <f>IF(C15="","",LEFT(C15,FIND(" |",C15)-1))</f>
        <v/>
      </c>
      <c r="C15" s="8" t="n"/>
      <c r="D15" s="18" t="n"/>
      <c r="E15" s="18" t="n"/>
      <c r="F15" s="14">
        <f>IF(OR(D15="",E15=""),"",D15-E15)</f>
        <v/>
      </c>
      <c r="G15" s="12">
        <f>IF(F15="","",IF(F15&gt;=Setup!$B$8,"OK","Short"))</f>
        <v/>
      </c>
      <c r="H15" s="8" t="n"/>
      <c r="I15" s="8" t="n"/>
      <c r="J15" s="14">
        <f>IF(OR(A15="",C15=""),"",IFERROR(INDEX(Classes!$D$6:$D$45,MATCH(A15,Classes!$B$6:$B$45,0)),""))</f>
        <v/>
      </c>
      <c r="K15" s="8" t="n"/>
      <c r="L15" s="8" t="n"/>
      <c r="M15" s="15">
        <f>IF(OR(J15="",J15=0,K15=""),"",K15/J15)</f>
        <v/>
      </c>
      <c r="N15" s="8" t="n"/>
      <c r="O15" s="8" t="n"/>
      <c r="P15" s="8" t="n"/>
      <c r="Q15" s="8" t="n"/>
      <c r="R15" s="14">
        <f>IF(C15="","",IF(A15="",1,0)+IF(J15="",1,0)+IF(AND(J15&lt;&gt;"",K15&lt;&gt;""),IF(K15&gt;J15,1,0),0)+IF(G15="Short",1,0)+IF(I15="No",1,0)+IF(IFERROR(INDEX(Classes!$C$6:$C$45,MATCH(A15,Classes!$B$6:$B$45,0)),"")&lt;&gt;B15,1,0))</f>
        <v/>
      </c>
    </row>
    <row r="16">
      <c r="A16" s="8" t="n"/>
      <c r="B16" s="12">
        <f>IF(C16="","",LEFT(C16,FIND(" |",C16)-1))</f>
        <v/>
      </c>
      <c r="C16" s="8" t="n"/>
      <c r="D16" s="18" t="n"/>
      <c r="E16" s="18" t="n"/>
      <c r="F16" s="14">
        <f>IF(OR(D16="",E16=""),"",D16-E16)</f>
        <v/>
      </c>
      <c r="G16" s="12">
        <f>IF(F16="","",IF(F16&gt;=Setup!$B$8,"OK","Short"))</f>
        <v/>
      </c>
      <c r="H16" s="8" t="n"/>
      <c r="I16" s="8" t="n"/>
      <c r="J16" s="14">
        <f>IF(OR(A16="",C16=""),"",IFERROR(INDEX(Classes!$D$6:$D$45,MATCH(A16,Classes!$B$6:$B$45,0)),""))</f>
        <v/>
      </c>
      <c r="K16" s="8" t="n"/>
      <c r="L16" s="8" t="n"/>
      <c r="M16" s="15">
        <f>IF(OR(J16="",J16=0,K16=""),"",K16/J16)</f>
        <v/>
      </c>
      <c r="N16" s="8" t="n"/>
      <c r="O16" s="8" t="n"/>
      <c r="P16" s="8" t="n"/>
      <c r="Q16" s="8" t="n"/>
      <c r="R16" s="14">
        <f>IF(C16="","",IF(A16="",1,0)+IF(J16="",1,0)+IF(AND(J16&lt;&gt;"",K16&lt;&gt;""),IF(K16&gt;J16,1,0),0)+IF(G16="Short",1,0)+IF(I16="No",1,0)+IF(IFERROR(INDEX(Classes!$C$6:$C$45,MATCH(A16,Classes!$B$6:$B$45,0)),"")&lt;&gt;B16,1,0))</f>
        <v/>
      </c>
    </row>
    <row r="17">
      <c r="A17" s="8" t="n"/>
      <c r="B17" s="12">
        <f>IF(C17="","",LEFT(C17,FIND(" |",C17)-1))</f>
        <v/>
      </c>
      <c r="C17" s="8" t="n"/>
      <c r="D17" s="18" t="n"/>
      <c r="E17" s="18" t="n"/>
      <c r="F17" s="14">
        <f>IF(OR(D17="",E17=""),"",D17-E17)</f>
        <v/>
      </c>
      <c r="G17" s="12">
        <f>IF(F17="","",IF(F17&gt;=Setup!$B$8,"OK","Short"))</f>
        <v/>
      </c>
      <c r="H17" s="8" t="n"/>
      <c r="I17" s="8" t="n"/>
      <c r="J17" s="14">
        <f>IF(OR(A17="",C17=""),"",IFERROR(INDEX(Classes!$D$6:$D$45,MATCH(A17,Classes!$B$6:$B$45,0)),""))</f>
        <v/>
      </c>
      <c r="K17" s="8" t="n"/>
      <c r="L17" s="8" t="n"/>
      <c r="M17" s="15">
        <f>IF(OR(J17="",J17=0,K17=""),"",K17/J17)</f>
        <v/>
      </c>
      <c r="N17" s="8" t="n"/>
      <c r="O17" s="8" t="n"/>
      <c r="P17" s="8" t="n"/>
      <c r="Q17" s="8" t="n"/>
      <c r="R17" s="14">
        <f>IF(C17="","",IF(A17="",1,0)+IF(J17="",1,0)+IF(AND(J17&lt;&gt;"",K17&lt;&gt;""),IF(K17&gt;J17,1,0),0)+IF(G17="Short",1,0)+IF(I17="No",1,0)+IF(IFERROR(INDEX(Classes!$C$6:$C$45,MATCH(A17,Classes!$B$6:$B$45,0)),"")&lt;&gt;B17,1,0))</f>
        <v/>
      </c>
    </row>
    <row r="18">
      <c r="A18" s="8" t="n"/>
      <c r="B18" s="12">
        <f>IF(C18="","",LEFT(C18,FIND(" |",C18)-1))</f>
        <v/>
      </c>
      <c r="C18" s="8" t="n"/>
      <c r="D18" s="18" t="n"/>
      <c r="E18" s="18" t="n"/>
      <c r="F18" s="14">
        <f>IF(OR(D18="",E18=""),"",D18-E18)</f>
        <v/>
      </c>
      <c r="G18" s="12">
        <f>IF(F18="","",IF(F18&gt;=Setup!$B$8,"OK","Short"))</f>
        <v/>
      </c>
      <c r="H18" s="8" t="n"/>
      <c r="I18" s="8" t="n"/>
      <c r="J18" s="14">
        <f>IF(OR(A18="",C18=""),"",IFERROR(INDEX(Classes!$D$6:$D$45,MATCH(A18,Classes!$B$6:$B$45,0)),""))</f>
        <v/>
      </c>
      <c r="K18" s="8" t="n"/>
      <c r="L18" s="8" t="n"/>
      <c r="M18" s="15">
        <f>IF(OR(J18="",J18=0,K18=""),"",K18/J18)</f>
        <v/>
      </c>
      <c r="N18" s="8" t="n"/>
      <c r="O18" s="8" t="n"/>
      <c r="P18" s="8" t="n"/>
      <c r="Q18" s="8" t="n"/>
      <c r="R18" s="14">
        <f>IF(C18="","",IF(A18="",1,0)+IF(J18="",1,0)+IF(AND(J18&lt;&gt;"",K18&lt;&gt;""),IF(K18&gt;J18,1,0),0)+IF(G18="Short",1,0)+IF(I18="No",1,0)+IF(IFERROR(INDEX(Classes!$C$6:$C$45,MATCH(A18,Classes!$B$6:$B$45,0)),"")&lt;&gt;B18,1,0))</f>
        <v/>
      </c>
    </row>
    <row r="19">
      <c r="A19" s="8" t="n"/>
      <c r="B19" s="12">
        <f>IF(C19="","",LEFT(C19,FIND(" |",C19)-1))</f>
        <v/>
      </c>
      <c r="C19" s="8" t="n"/>
      <c r="D19" s="18" t="n"/>
      <c r="E19" s="18" t="n"/>
      <c r="F19" s="14">
        <f>IF(OR(D19="",E19=""),"",D19-E19)</f>
        <v/>
      </c>
      <c r="G19" s="12">
        <f>IF(F19="","",IF(F19&gt;=Setup!$B$8,"OK","Short"))</f>
        <v/>
      </c>
      <c r="H19" s="8" t="n"/>
      <c r="I19" s="8" t="n"/>
      <c r="J19" s="14">
        <f>IF(OR(A19="",C19=""),"",IFERROR(INDEX(Classes!$D$6:$D$45,MATCH(A19,Classes!$B$6:$B$45,0)),""))</f>
        <v/>
      </c>
      <c r="K19" s="8" t="n"/>
      <c r="L19" s="8" t="n"/>
      <c r="M19" s="15">
        <f>IF(OR(J19="",J19=0,K19=""),"",K19/J19)</f>
        <v/>
      </c>
      <c r="N19" s="8" t="n"/>
      <c r="O19" s="8" t="n"/>
      <c r="P19" s="8" t="n"/>
      <c r="Q19" s="8" t="n"/>
      <c r="R19" s="14">
        <f>IF(C19="","",IF(A19="",1,0)+IF(J19="",1,0)+IF(AND(J19&lt;&gt;"",K19&lt;&gt;""),IF(K19&gt;J19,1,0),0)+IF(G19="Short",1,0)+IF(I19="No",1,0)+IF(IFERROR(INDEX(Classes!$C$6:$C$45,MATCH(A19,Classes!$B$6:$B$45,0)),"")&lt;&gt;B19,1,0))</f>
        <v/>
      </c>
    </row>
    <row r="20">
      <c r="A20" s="8" t="n"/>
      <c r="B20" s="12">
        <f>IF(C20="","",LEFT(C20,FIND(" |",C20)-1))</f>
        <v/>
      </c>
      <c r="C20" s="8" t="n"/>
      <c r="D20" s="18" t="n"/>
      <c r="E20" s="18" t="n"/>
      <c r="F20" s="14">
        <f>IF(OR(D20="",E20=""),"",D20-E20)</f>
        <v/>
      </c>
      <c r="G20" s="12">
        <f>IF(F20="","",IF(F20&gt;=Setup!$B$8,"OK","Short"))</f>
        <v/>
      </c>
      <c r="H20" s="8" t="n"/>
      <c r="I20" s="8" t="n"/>
      <c r="J20" s="14">
        <f>IF(OR(A20="",C20=""),"",IFERROR(INDEX(Classes!$D$6:$D$45,MATCH(A20,Classes!$B$6:$B$45,0)),""))</f>
        <v/>
      </c>
      <c r="K20" s="8" t="n"/>
      <c r="L20" s="8" t="n"/>
      <c r="M20" s="15">
        <f>IF(OR(J20="",J20=0,K20=""),"",K20/J20)</f>
        <v/>
      </c>
      <c r="N20" s="8" t="n"/>
      <c r="O20" s="8" t="n"/>
      <c r="P20" s="8" t="n"/>
      <c r="Q20" s="8" t="n"/>
      <c r="R20" s="14">
        <f>IF(C20="","",IF(A20="",1,0)+IF(J20="",1,0)+IF(AND(J20&lt;&gt;"",K20&lt;&gt;""),IF(K20&gt;J20,1,0),0)+IF(G20="Short",1,0)+IF(I20="No",1,0)+IF(IFERROR(INDEX(Classes!$C$6:$C$45,MATCH(A20,Classes!$B$6:$B$45,0)),"")&lt;&gt;B20,1,0))</f>
        <v/>
      </c>
    </row>
    <row r="21">
      <c r="A21" s="8" t="n"/>
      <c r="B21" s="12">
        <f>IF(C21="","",LEFT(C21,FIND(" |",C21)-1))</f>
        <v/>
      </c>
      <c r="C21" s="8" t="n"/>
      <c r="D21" s="18" t="n"/>
      <c r="E21" s="18" t="n"/>
      <c r="F21" s="14">
        <f>IF(OR(D21="",E21=""),"",D21-E21)</f>
        <v/>
      </c>
      <c r="G21" s="12">
        <f>IF(F21="","",IF(F21&gt;=Setup!$B$8,"OK","Short"))</f>
        <v/>
      </c>
      <c r="H21" s="8" t="n"/>
      <c r="I21" s="8" t="n"/>
      <c r="J21" s="14">
        <f>IF(OR(A21="",C21=""),"",IFERROR(INDEX(Classes!$D$6:$D$45,MATCH(A21,Classes!$B$6:$B$45,0)),""))</f>
        <v/>
      </c>
      <c r="K21" s="8" t="n"/>
      <c r="L21" s="8" t="n"/>
      <c r="M21" s="15">
        <f>IF(OR(J21="",J21=0,K21=""),"",K21/J21)</f>
        <v/>
      </c>
      <c r="N21" s="8" t="n"/>
      <c r="O21" s="8" t="n"/>
      <c r="P21" s="8" t="n"/>
      <c r="Q21" s="8" t="n"/>
      <c r="R21" s="14">
        <f>IF(C21="","",IF(A21="",1,0)+IF(J21="",1,0)+IF(AND(J21&lt;&gt;"",K21&lt;&gt;""),IF(K21&gt;J21,1,0),0)+IF(G21="Short",1,0)+IF(I21="No",1,0)+IF(IFERROR(INDEX(Classes!$C$6:$C$45,MATCH(A21,Classes!$B$6:$B$45,0)),"")&lt;&gt;B21,1,0))</f>
        <v/>
      </c>
    </row>
    <row r="22">
      <c r="A22" s="8" t="n"/>
      <c r="B22" s="12">
        <f>IF(C22="","",LEFT(C22,FIND(" |",C22)-1))</f>
        <v/>
      </c>
      <c r="C22" s="8" t="n"/>
      <c r="D22" s="18" t="n"/>
      <c r="E22" s="18" t="n"/>
      <c r="F22" s="14">
        <f>IF(OR(D22="",E22=""),"",D22-E22)</f>
        <v/>
      </c>
      <c r="G22" s="12">
        <f>IF(F22="","",IF(F22&gt;=Setup!$B$8,"OK","Short"))</f>
        <v/>
      </c>
      <c r="H22" s="8" t="n"/>
      <c r="I22" s="8" t="n"/>
      <c r="J22" s="14">
        <f>IF(OR(A22="",C22=""),"",IFERROR(INDEX(Classes!$D$6:$D$45,MATCH(A22,Classes!$B$6:$B$45,0)),""))</f>
        <v/>
      </c>
      <c r="K22" s="8" t="n"/>
      <c r="L22" s="8" t="n"/>
      <c r="M22" s="15">
        <f>IF(OR(J22="",J22=0,K22=""),"",K22/J22)</f>
        <v/>
      </c>
      <c r="N22" s="8" t="n"/>
      <c r="O22" s="8" t="n"/>
      <c r="P22" s="8" t="n"/>
      <c r="Q22" s="8" t="n"/>
      <c r="R22" s="14">
        <f>IF(C22="","",IF(A22="",1,0)+IF(J22="",1,0)+IF(AND(J22&lt;&gt;"",K22&lt;&gt;""),IF(K22&gt;J22,1,0),0)+IF(G22="Short",1,0)+IF(I22="No",1,0)+IF(IFERROR(INDEX(Classes!$C$6:$C$45,MATCH(A22,Classes!$B$6:$B$45,0)),"")&lt;&gt;B22,1,0))</f>
        <v/>
      </c>
    </row>
    <row r="23">
      <c r="A23" s="8" t="n"/>
      <c r="B23" s="12">
        <f>IF(C23="","",LEFT(C23,FIND(" |",C23)-1))</f>
        <v/>
      </c>
      <c r="C23" s="8" t="n"/>
      <c r="D23" s="18" t="n"/>
      <c r="E23" s="18" t="n"/>
      <c r="F23" s="14">
        <f>IF(OR(D23="",E23=""),"",D23-E23)</f>
        <v/>
      </c>
      <c r="G23" s="12">
        <f>IF(F23="","",IF(F23&gt;=Setup!$B$8,"OK","Short"))</f>
        <v/>
      </c>
      <c r="H23" s="8" t="n"/>
      <c r="I23" s="8" t="n"/>
      <c r="J23" s="14">
        <f>IF(OR(A23="",C23=""),"",IFERROR(INDEX(Classes!$D$6:$D$45,MATCH(A23,Classes!$B$6:$B$45,0)),""))</f>
        <v/>
      </c>
      <c r="K23" s="8" t="n"/>
      <c r="L23" s="8" t="n"/>
      <c r="M23" s="15">
        <f>IF(OR(J23="",J23=0,K23=""),"",K23/J23)</f>
        <v/>
      </c>
      <c r="N23" s="8" t="n"/>
      <c r="O23" s="8" t="n"/>
      <c r="P23" s="8" t="n"/>
      <c r="Q23" s="8" t="n"/>
      <c r="R23" s="14">
        <f>IF(C23="","",IF(A23="",1,0)+IF(J23="",1,0)+IF(AND(J23&lt;&gt;"",K23&lt;&gt;""),IF(K23&gt;J23,1,0),0)+IF(G23="Short",1,0)+IF(I23="No",1,0)+IF(IFERROR(INDEX(Classes!$C$6:$C$45,MATCH(A23,Classes!$B$6:$B$45,0)),"")&lt;&gt;B23,1,0))</f>
        <v/>
      </c>
    </row>
    <row r="24">
      <c r="A24" s="8" t="n"/>
      <c r="B24" s="12">
        <f>IF(C24="","",LEFT(C24,FIND(" |",C24)-1))</f>
        <v/>
      </c>
      <c r="C24" s="8" t="n"/>
      <c r="D24" s="18" t="n"/>
      <c r="E24" s="18" t="n"/>
      <c r="F24" s="14">
        <f>IF(OR(D24="",E24=""),"",D24-E24)</f>
        <v/>
      </c>
      <c r="G24" s="12">
        <f>IF(F24="","",IF(F24&gt;=Setup!$B$8,"OK","Short"))</f>
        <v/>
      </c>
      <c r="H24" s="8" t="n"/>
      <c r="I24" s="8" t="n"/>
      <c r="J24" s="14">
        <f>IF(OR(A24="",C24=""),"",IFERROR(INDEX(Classes!$D$6:$D$45,MATCH(A24,Classes!$B$6:$B$45,0)),""))</f>
        <v/>
      </c>
      <c r="K24" s="8" t="n"/>
      <c r="L24" s="8" t="n"/>
      <c r="M24" s="15">
        <f>IF(OR(J24="",J24=0,K24=""),"",K24/J24)</f>
        <v/>
      </c>
      <c r="N24" s="8" t="n"/>
      <c r="O24" s="8" t="n"/>
      <c r="P24" s="8" t="n"/>
      <c r="Q24" s="8" t="n"/>
      <c r="R24" s="14">
        <f>IF(C24="","",IF(A24="",1,0)+IF(J24="",1,0)+IF(AND(J24&lt;&gt;"",K24&lt;&gt;""),IF(K24&gt;J24,1,0),0)+IF(G24="Short",1,0)+IF(I24="No",1,0)+IF(IFERROR(INDEX(Classes!$C$6:$C$45,MATCH(A24,Classes!$B$6:$B$45,0)),"")&lt;&gt;B24,1,0))</f>
        <v/>
      </c>
    </row>
    <row r="25">
      <c r="A25" s="8" t="n"/>
      <c r="B25" s="12">
        <f>IF(C25="","",LEFT(C25,FIND(" |",C25)-1))</f>
        <v/>
      </c>
      <c r="C25" s="8" t="n"/>
      <c r="D25" s="18" t="n"/>
      <c r="E25" s="18" t="n"/>
      <c r="F25" s="14">
        <f>IF(OR(D25="",E25=""),"",D25-E25)</f>
        <v/>
      </c>
      <c r="G25" s="12">
        <f>IF(F25="","",IF(F25&gt;=Setup!$B$8,"OK","Short"))</f>
        <v/>
      </c>
      <c r="H25" s="8" t="n"/>
      <c r="I25" s="8" t="n"/>
      <c r="J25" s="14">
        <f>IF(OR(A25="",C25=""),"",IFERROR(INDEX(Classes!$D$6:$D$45,MATCH(A25,Classes!$B$6:$B$45,0)),""))</f>
        <v/>
      </c>
      <c r="K25" s="8" t="n"/>
      <c r="L25" s="8" t="n"/>
      <c r="M25" s="15">
        <f>IF(OR(J25="",J25=0,K25=""),"",K25/J25)</f>
        <v/>
      </c>
      <c r="N25" s="8" t="n"/>
      <c r="O25" s="8" t="n"/>
      <c r="P25" s="8" t="n"/>
      <c r="Q25" s="8" t="n"/>
      <c r="R25" s="14">
        <f>IF(C25="","",IF(A25="",1,0)+IF(J25="",1,0)+IF(AND(J25&lt;&gt;"",K25&lt;&gt;""),IF(K25&gt;J25,1,0),0)+IF(G25="Short",1,0)+IF(I25="No",1,0)+IF(IFERROR(INDEX(Classes!$C$6:$C$45,MATCH(A25,Classes!$B$6:$B$45,0)),"")&lt;&gt;B25,1,0))</f>
        <v/>
      </c>
    </row>
    <row r="26">
      <c r="A26" s="8" t="n"/>
      <c r="B26" s="12">
        <f>IF(C26="","",LEFT(C26,FIND(" |",C26)-1))</f>
        <v/>
      </c>
      <c r="C26" s="8" t="n"/>
      <c r="D26" s="18" t="n"/>
      <c r="E26" s="18" t="n"/>
      <c r="F26" s="14">
        <f>IF(OR(D26="",E26=""),"",D26-E26)</f>
        <v/>
      </c>
      <c r="G26" s="12">
        <f>IF(F26="","",IF(F26&gt;=Setup!$B$8,"OK","Short"))</f>
        <v/>
      </c>
      <c r="H26" s="8" t="n"/>
      <c r="I26" s="8" t="n"/>
      <c r="J26" s="14">
        <f>IF(OR(A26="",C26=""),"",IFERROR(INDEX(Classes!$D$6:$D$45,MATCH(A26,Classes!$B$6:$B$45,0)),""))</f>
        <v/>
      </c>
      <c r="K26" s="8" t="n"/>
      <c r="L26" s="8" t="n"/>
      <c r="M26" s="15">
        <f>IF(OR(J26="",J26=0,K26=""),"",K26/J26)</f>
        <v/>
      </c>
      <c r="N26" s="8" t="n"/>
      <c r="O26" s="8" t="n"/>
      <c r="P26" s="8" t="n"/>
      <c r="Q26" s="8" t="n"/>
      <c r="R26" s="14">
        <f>IF(C26="","",IF(A26="",1,0)+IF(J26="",1,0)+IF(AND(J26&lt;&gt;"",K26&lt;&gt;""),IF(K26&gt;J26,1,0),0)+IF(G26="Short",1,0)+IF(I26="No",1,0)+IF(IFERROR(INDEX(Classes!$C$6:$C$45,MATCH(A26,Classes!$B$6:$B$45,0)),"")&lt;&gt;B26,1,0))</f>
        <v/>
      </c>
    </row>
    <row r="27">
      <c r="A27" s="8" t="n"/>
      <c r="B27" s="12">
        <f>IF(C27="","",LEFT(C27,FIND(" |",C27)-1))</f>
        <v/>
      </c>
      <c r="C27" s="8" t="n"/>
      <c r="D27" s="18" t="n"/>
      <c r="E27" s="18" t="n"/>
      <c r="F27" s="14">
        <f>IF(OR(D27="",E27=""),"",D27-E27)</f>
        <v/>
      </c>
      <c r="G27" s="12">
        <f>IF(F27="","",IF(F27&gt;=Setup!$B$8,"OK","Short"))</f>
        <v/>
      </c>
      <c r="H27" s="8" t="n"/>
      <c r="I27" s="8" t="n"/>
      <c r="J27" s="14">
        <f>IF(OR(A27="",C27=""),"",IFERROR(INDEX(Classes!$D$6:$D$45,MATCH(A27,Classes!$B$6:$B$45,0)),""))</f>
        <v/>
      </c>
      <c r="K27" s="8" t="n"/>
      <c r="L27" s="8" t="n"/>
      <c r="M27" s="15">
        <f>IF(OR(J27="",J27=0,K27=""),"",K27/J27)</f>
        <v/>
      </c>
      <c r="N27" s="8" t="n"/>
      <c r="O27" s="8" t="n"/>
      <c r="P27" s="8" t="n"/>
      <c r="Q27" s="8" t="n"/>
      <c r="R27" s="14">
        <f>IF(C27="","",IF(A27="",1,0)+IF(J27="",1,0)+IF(AND(J27&lt;&gt;"",K27&lt;&gt;""),IF(K27&gt;J27,1,0),0)+IF(G27="Short",1,0)+IF(I27="No",1,0)+IF(IFERROR(INDEX(Classes!$C$6:$C$45,MATCH(A27,Classes!$B$6:$B$45,0)),"")&lt;&gt;B27,1,0))</f>
        <v/>
      </c>
    </row>
    <row r="28">
      <c r="A28" s="8" t="n"/>
      <c r="B28" s="12">
        <f>IF(C28="","",LEFT(C28,FIND(" |",C28)-1))</f>
        <v/>
      </c>
      <c r="C28" s="8" t="n"/>
      <c r="D28" s="18" t="n"/>
      <c r="E28" s="18" t="n"/>
      <c r="F28" s="14">
        <f>IF(OR(D28="",E28=""),"",D28-E28)</f>
        <v/>
      </c>
      <c r="G28" s="12">
        <f>IF(F28="","",IF(F28&gt;=Setup!$B$8,"OK","Short"))</f>
        <v/>
      </c>
      <c r="H28" s="8" t="n"/>
      <c r="I28" s="8" t="n"/>
      <c r="J28" s="14">
        <f>IF(OR(A28="",C28=""),"",IFERROR(INDEX(Classes!$D$6:$D$45,MATCH(A28,Classes!$B$6:$B$45,0)),""))</f>
        <v/>
      </c>
      <c r="K28" s="8" t="n"/>
      <c r="L28" s="8" t="n"/>
      <c r="M28" s="15">
        <f>IF(OR(J28="",J28=0,K28=""),"",K28/J28)</f>
        <v/>
      </c>
      <c r="N28" s="8" t="n"/>
      <c r="O28" s="8" t="n"/>
      <c r="P28" s="8" t="n"/>
      <c r="Q28" s="8" t="n"/>
      <c r="R28" s="14">
        <f>IF(C28="","",IF(A28="",1,0)+IF(J28="",1,0)+IF(AND(J28&lt;&gt;"",K28&lt;&gt;""),IF(K28&gt;J28,1,0),0)+IF(G28="Short",1,0)+IF(I28="No",1,0)+IF(IFERROR(INDEX(Classes!$C$6:$C$45,MATCH(A28,Classes!$B$6:$B$45,0)),"")&lt;&gt;B28,1,0))</f>
        <v/>
      </c>
    </row>
    <row r="29">
      <c r="A29" s="8" t="n"/>
      <c r="B29" s="12">
        <f>IF(C29="","",LEFT(C29,FIND(" |",C29)-1))</f>
        <v/>
      </c>
      <c r="C29" s="8" t="n"/>
      <c r="D29" s="18" t="n"/>
      <c r="E29" s="18" t="n"/>
      <c r="F29" s="14">
        <f>IF(OR(D29="",E29=""),"",D29-E29)</f>
        <v/>
      </c>
      <c r="G29" s="12">
        <f>IF(F29="","",IF(F29&gt;=Setup!$B$8,"OK","Short"))</f>
        <v/>
      </c>
      <c r="H29" s="8" t="n"/>
      <c r="I29" s="8" t="n"/>
      <c r="J29" s="14">
        <f>IF(OR(A29="",C29=""),"",IFERROR(INDEX(Classes!$D$6:$D$45,MATCH(A29,Classes!$B$6:$B$45,0)),""))</f>
        <v/>
      </c>
      <c r="K29" s="8" t="n"/>
      <c r="L29" s="8" t="n"/>
      <c r="M29" s="15">
        <f>IF(OR(J29="",J29=0,K29=""),"",K29/J29)</f>
        <v/>
      </c>
      <c r="N29" s="8" t="n"/>
      <c r="O29" s="8" t="n"/>
      <c r="P29" s="8" t="n"/>
      <c r="Q29" s="8" t="n"/>
      <c r="R29" s="14">
        <f>IF(C29="","",IF(A29="",1,0)+IF(J29="",1,0)+IF(AND(J29&lt;&gt;"",K29&lt;&gt;""),IF(K29&gt;J29,1,0),0)+IF(G29="Short",1,0)+IF(I29="No",1,0)+IF(IFERROR(INDEX(Classes!$C$6:$C$45,MATCH(A29,Classes!$B$6:$B$45,0)),"")&lt;&gt;B29,1,0))</f>
        <v/>
      </c>
    </row>
    <row r="30">
      <c r="A30" s="8" t="n"/>
      <c r="B30" s="12">
        <f>IF(C30="","",LEFT(C30,FIND(" |",C30)-1))</f>
        <v/>
      </c>
      <c r="C30" s="8" t="n"/>
      <c r="D30" s="18" t="n"/>
      <c r="E30" s="18" t="n"/>
      <c r="F30" s="14">
        <f>IF(OR(D30="",E30=""),"",D30-E30)</f>
        <v/>
      </c>
      <c r="G30" s="12">
        <f>IF(F30="","",IF(F30&gt;=Setup!$B$8,"OK","Short"))</f>
        <v/>
      </c>
      <c r="H30" s="8" t="n"/>
      <c r="I30" s="8" t="n"/>
      <c r="J30" s="14">
        <f>IF(OR(A30="",C30=""),"",IFERROR(INDEX(Classes!$D$6:$D$45,MATCH(A30,Classes!$B$6:$B$45,0)),""))</f>
        <v/>
      </c>
      <c r="K30" s="8" t="n"/>
      <c r="L30" s="8" t="n"/>
      <c r="M30" s="15">
        <f>IF(OR(J30="",J30=0,K30=""),"",K30/J30)</f>
        <v/>
      </c>
      <c r="N30" s="8" t="n"/>
      <c r="O30" s="8" t="n"/>
      <c r="P30" s="8" t="n"/>
      <c r="Q30" s="8" t="n"/>
      <c r="R30" s="14">
        <f>IF(C30="","",IF(A30="",1,0)+IF(J30="",1,0)+IF(AND(J30&lt;&gt;"",K30&lt;&gt;""),IF(K30&gt;J30,1,0),0)+IF(G30="Short",1,0)+IF(I30="No",1,0)+IF(IFERROR(INDEX(Classes!$C$6:$C$45,MATCH(A30,Classes!$B$6:$B$45,0)),"")&lt;&gt;B30,1,0))</f>
        <v/>
      </c>
    </row>
    <row r="31">
      <c r="A31" s="8" t="n"/>
      <c r="B31" s="12">
        <f>IF(C31="","",LEFT(C31,FIND(" |",C31)-1))</f>
        <v/>
      </c>
      <c r="C31" s="8" t="n"/>
      <c r="D31" s="18" t="n"/>
      <c r="E31" s="18" t="n"/>
      <c r="F31" s="14">
        <f>IF(OR(D31="",E31=""),"",D31-E31)</f>
        <v/>
      </c>
      <c r="G31" s="12">
        <f>IF(F31="","",IF(F31&gt;=Setup!$B$8,"OK","Short"))</f>
        <v/>
      </c>
      <c r="H31" s="8" t="n"/>
      <c r="I31" s="8" t="n"/>
      <c r="J31" s="14">
        <f>IF(OR(A31="",C31=""),"",IFERROR(INDEX(Classes!$D$6:$D$45,MATCH(A31,Classes!$B$6:$B$45,0)),""))</f>
        <v/>
      </c>
      <c r="K31" s="8" t="n"/>
      <c r="L31" s="8" t="n"/>
      <c r="M31" s="15">
        <f>IF(OR(J31="",J31=0,K31=""),"",K31/J31)</f>
        <v/>
      </c>
      <c r="N31" s="8" t="n"/>
      <c r="O31" s="8" t="n"/>
      <c r="P31" s="8" t="n"/>
      <c r="Q31" s="8" t="n"/>
      <c r="R31" s="14">
        <f>IF(C31="","",IF(A31="",1,0)+IF(J31="",1,0)+IF(AND(J31&lt;&gt;"",K31&lt;&gt;""),IF(K31&gt;J31,1,0),0)+IF(G31="Short",1,0)+IF(I31="No",1,0)+IF(IFERROR(INDEX(Classes!$C$6:$C$45,MATCH(A31,Classes!$B$6:$B$45,0)),"")&lt;&gt;B31,1,0))</f>
        <v/>
      </c>
    </row>
    <row r="32">
      <c r="A32" s="8" t="n"/>
      <c r="B32" s="12">
        <f>IF(C32="","",LEFT(C32,FIND(" |",C32)-1))</f>
        <v/>
      </c>
      <c r="C32" s="8" t="n"/>
      <c r="D32" s="18" t="n"/>
      <c r="E32" s="18" t="n"/>
      <c r="F32" s="14">
        <f>IF(OR(D32="",E32=""),"",D32-E32)</f>
        <v/>
      </c>
      <c r="G32" s="12">
        <f>IF(F32="","",IF(F32&gt;=Setup!$B$8,"OK","Short"))</f>
        <v/>
      </c>
      <c r="H32" s="8" t="n"/>
      <c r="I32" s="8" t="n"/>
      <c r="J32" s="14">
        <f>IF(OR(A32="",C32=""),"",IFERROR(INDEX(Classes!$D$6:$D$45,MATCH(A32,Classes!$B$6:$B$45,0)),""))</f>
        <v/>
      </c>
      <c r="K32" s="8" t="n"/>
      <c r="L32" s="8" t="n"/>
      <c r="M32" s="15">
        <f>IF(OR(J32="",J32=0,K32=""),"",K32/J32)</f>
        <v/>
      </c>
      <c r="N32" s="8" t="n"/>
      <c r="O32" s="8" t="n"/>
      <c r="P32" s="8" t="n"/>
      <c r="Q32" s="8" t="n"/>
      <c r="R32" s="14">
        <f>IF(C32="","",IF(A32="",1,0)+IF(J32="",1,0)+IF(AND(J32&lt;&gt;"",K32&lt;&gt;""),IF(K32&gt;J32,1,0),0)+IF(G32="Short",1,0)+IF(I32="No",1,0)+IF(IFERROR(INDEX(Classes!$C$6:$C$45,MATCH(A32,Classes!$B$6:$B$45,0)),"")&lt;&gt;B32,1,0))</f>
        <v/>
      </c>
    </row>
    <row r="33">
      <c r="A33" s="8" t="n"/>
      <c r="B33" s="12">
        <f>IF(C33="","",LEFT(C33,FIND(" |",C33)-1))</f>
        <v/>
      </c>
      <c r="C33" s="8" t="n"/>
      <c r="D33" s="18" t="n"/>
      <c r="E33" s="18" t="n"/>
      <c r="F33" s="14">
        <f>IF(OR(D33="",E33=""),"",D33-E33)</f>
        <v/>
      </c>
      <c r="G33" s="12">
        <f>IF(F33="","",IF(F33&gt;=Setup!$B$8,"OK","Short"))</f>
        <v/>
      </c>
      <c r="H33" s="8" t="n"/>
      <c r="I33" s="8" t="n"/>
      <c r="J33" s="14">
        <f>IF(OR(A33="",C33=""),"",IFERROR(INDEX(Classes!$D$6:$D$45,MATCH(A33,Classes!$B$6:$B$45,0)),""))</f>
        <v/>
      </c>
      <c r="K33" s="8" t="n"/>
      <c r="L33" s="8" t="n"/>
      <c r="M33" s="15">
        <f>IF(OR(J33="",J33=0,K33=""),"",K33/J33)</f>
        <v/>
      </c>
      <c r="N33" s="8" t="n"/>
      <c r="O33" s="8" t="n"/>
      <c r="P33" s="8" t="n"/>
      <c r="Q33" s="8" t="n"/>
      <c r="R33" s="14">
        <f>IF(C33="","",IF(A33="",1,0)+IF(J33="",1,0)+IF(AND(J33&lt;&gt;"",K33&lt;&gt;""),IF(K33&gt;J33,1,0),0)+IF(G33="Short",1,0)+IF(I33="No",1,0)+IF(IFERROR(INDEX(Classes!$C$6:$C$45,MATCH(A33,Classes!$B$6:$B$45,0)),"")&lt;&gt;B33,1,0))</f>
        <v/>
      </c>
    </row>
    <row r="34">
      <c r="A34" s="8" t="n"/>
      <c r="B34" s="12">
        <f>IF(C34="","",LEFT(C34,FIND(" |",C34)-1))</f>
        <v/>
      </c>
      <c r="C34" s="8" t="n"/>
      <c r="D34" s="18" t="n"/>
      <c r="E34" s="18" t="n"/>
      <c r="F34" s="14">
        <f>IF(OR(D34="",E34=""),"",D34-E34)</f>
        <v/>
      </c>
      <c r="G34" s="12">
        <f>IF(F34="","",IF(F34&gt;=Setup!$B$8,"OK","Short"))</f>
        <v/>
      </c>
      <c r="H34" s="8" t="n"/>
      <c r="I34" s="8" t="n"/>
      <c r="J34" s="14">
        <f>IF(OR(A34="",C34=""),"",IFERROR(INDEX(Classes!$D$6:$D$45,MATCH(A34,Classes!$B$6:$B$45,0)),""))</f>
        <v/>
      </c>
      <c r="K34" s="8" t="n"/>
      <c r="L34" s="8" t="n"/>
      <c r="M34" s="15">
        <f>IF(OR(J34="",J34=0,K34=""),"",K34/J34)</f>
        <v/>
      </c>
      <c r="N34" s="8" t="n"/>
      <c r="O34" s="8" t="n"/>
      <c r="P34" s="8" t="n"/>
      <c r="Q34" s="8" t="n"/>
      <c r="R34" s="14">
        <f>IF(C34="","",IF(A34="",1,0)+IF(J34="",1,0)+IF(AND(J34&lt;&gt;"",K34&lt;&gt;""),IF(K34&gt;J34,1,0),0)+IF(G34="Short",1,0)+IF(I34="No",1,0)+IF(IFERROR(INDEX(Classes!$C$6:$C$45,MATCH(A34,Classes!$B$6:$B$45,0)),"")&lt;&gt;B34,1,0))</f>
        <v/>
      </c>
    </row>
    <row r="35">
      <c r="A35" s="8" t="n"/>
      <c r="B35" s="12">
        <f>IF(C35="","",LEFT(C35,FIND(" |",C35)-1))</f>
        <v/>
      </c>
      <c r="C35" s="8" t="n"/>
      <c r="D35" s="18" t="n"/>
      <c r="E35" s="18" t="n"/>
      <c r="F35" s="14">
        <f>IF(OR(D35="",E35=""),"",D35-E35)</f>
        <v/>
      </c>
      <c r="G35" s="12">
        <f>IF(F35="","",IF(F35&gt;=Setup!$B$8,"OK","Short"))</f>
        <v/>
      </c>
      <c r="H35" s="8" t="n"/>
      <c r="I35" s="8" t="n"/>
      <c r="J35" s="14">
        <f>IF(OR(A35="",C35=""),"",IFERROR(INDEX(Classes!$D$6:$D$45,MATCH(A35,Classes!$B$6:$B$45,0)),""))</f>
        <v/>
      </c>
      <c r="K35" s="8" t="n"/>
      <c r="L35" s="8" t="n"/>
      <c r="M35" s="15">
        <f>IF(OR(J35="",J35=0,K35=""),"",K35/J35)</f>
        <v/>
      </c>
      <c r="N35" s="8" t="n"/>
      <c r="O35" s="8" t="n"/>
      <c r="P35" s="8" t="n"/>
      <c r="Q35" s="8" t="n"/>
      <c r="R35" s="14">
        <f>IF(C35="","",IF(A35="",1,0)+IF(J35="",1,0)+IF(AND(J35&lt;&gt;"",K35&lt;&gt;""),IF(K35&gt;J35,1,0),0)+IF(G35="Short",1,0)+IF(I35="No",1,0)+IF(IFERROR(INDEX(Classes!$C$6:$C$45,MATCH(A35,Classes!$B$6:$B$45,0)),"")&lt;&gt;B35,1,0))</f>
        <v/>
      </c>
    </row>
    <row r="36">
      <c r="A36" s="8" t="n"/>
      <c r="B36" s="12">
        <f>IF(C36="","",LEFT(C36,FIND(" |",C36)-1))</f>
        <v/>
      </c>
      <c r="C36" s="8" t="n"/>
      <c r="D36" s="18" t="n"/>
      <c r="E36" s="18" t="n"/>
      <c r="F36" s="14">
        <f>IF(OR(D36="",E36=""),"",D36-E36)</f>
        <v/>
      </c>
      <c r="G36" s="12">
        <f>IF(F36="","",IF(F36&gt;=Setup!$B$8,"OK","Short"))</f>
        <v/>
      </c>
      <c r="H36" s="8" t="n"/>
      <c r="I36" s="8" t="n"/>
      <c r="J36" s="14">
        <f>IF(OR(A36="",C36=""),"",IFERROR(INDEX(Classes!$D$6:$D$45,MATCH(A36,Classes!$B$6:$B$45,0)),""))</f>
        <v/>
      </c>
      <c r="K36" s="8" t="n"/>
      <c r="L36" s="8" t="n"/>
      <c r="M36" s="15">
        <f>IF(OR(J36="",J36=0,K36=""),"",K36/J36)</f>
        <v/>
      </c>
      <c r="N36" s="8" t="n"/>
      <c r="O36" s="8" t="n"/>
      <c r="P36" s="8" t="n"/>
      <c r="Q36" s="8" t="n"/>
      <c r="R36" s="14">
        <f>IF(C36="","",IF(A36="",1,0)+IF(J36="",1,0)+IF(AND(J36&lt;&gt;"",K36&lt;&gt;""),IF(K36&gt;J36,1,0),0)+IF(G36="Short",1,0)+IF(I36="No",1,0)+IF(IFERROR(INDEX(Classes!$C$6:$C$45,MATCH(A36,Classes!$B$6:$B$45,0)),"")&lt;&gt;B36,1,0))</f>
        <v/>
      </c>
    </row>
    <row r="37">
      <c r="A37" s="8" t="n"/>
      <c r="B37" s="12">
        <f>IF(C37="","",LEFT(C37,FIND(" |",C37)-1))</f>
        <v/>
      </c>
      <c r="C37" s="8" t="n"/>
      <c r="D37" s="18" t="n"/>
      <c r="E37" s="18" t="n"/>
      <c r="F37" s="14">
        <f>IF(OR(D37="",E37=""),"",D37-E37)</f>
        <v/>
      </c>
      <c r="G37" s="12">
        <f>IF(F37="","",IF(F37&gt;=Setup!$B$8,"OK","Short"))</f>
        <v/>
      </c>
      <c r="H37" s="8" t="n"/>
      <c r="I37" s="8" t="n"/>
      <c r="J37" s="14">
        <f>IF(OR(A37="",C37=""),"",IFERROR(INDEX(Classes!$D$6:$D$45,MATCH(A37,Classes!$B$6:$B$45,0)),""))</f>
        <v/>
      </c>
      <c r="K37" s="8" t="n"/>
      <c r="L37" s="8" t="n"/>
      <c r="M37" s="15">
        <f>IF(OR(J37="",J37=0,K37=""),"",K37/J37)</f>
        <v/>
      </c>
      <c r="N37" s="8" t="n"/>
      <c r="O37" s="8" t="n"/>
      <c r="P37" s="8" t="n"/>
      <c r="Q37" s="8" t="n"/>
      <c r="R37" s="14">
        <f>IF(C37="","",IF(A37="",1,0)+IF(J37="",1,0)+IF(AND(J37&lt;&gt;"",K37&lt;&gt;""),IF(K37&gt;J37,1,0),0)+IF(G37="Short",1,0)+IF(I37="No",1,0)+IF(IFERROR(INDEX(Classes!$C$6:$C$45,MATCH(A37,Classes!$B$6:$B$45,0)),"")&lt;&gt;B37,1,0))</f>
        <v/>
      </c>
    </row>
    <row r="38">
      <c r="A38" s="8" t="n"/>
      <c r="B38" s="12">
        <f>IF(C38="","",LEFT(C38,FIND(" |",C38)-1))</f>
        <v/>
      </c>
      <c r="C38" s="8" t="n"/>
      <c r="D38" s="18" t="n"/>
      <c r="E38" s="18" t="n"/>
      <c r="F38" s="14">
        <f>IF(OR(D38="",E38=""),"",D38-E38)</f>
        <v/>
      </c>
      <c r="G38" s="12">
        <f>IF(F38="","",IF(F38&gt;=Setup!$B$8,"OK","Short"))</f>
        <v/>
      </c>
      <c r="H38" s="8" t="n"/>
      <c r="I38" s="8" t="n"/>
      <c r="J38" s="14">
        <f>IF(OR(A38="",C38=""),"",IFERROR(INDEX(Classes!$D$6:$D$45,MATCH(A38,Classes!$B$6:$B$45,0)),""))</f>
        <v/>
      </c>
      <c r="K38" s="8" t="n"/>
      <c r="L38" s="8" t="n"/>
      <c r="M38" s="15">
        <f>IF(OR(J38="",J38=0,K38=""),"",K38/J38)</f>
        <v/>
      </c>
      <c r="N38" s="8" t="n"/>
      <c r="O38" s="8" t="n"/>
      <c r="P38" s="8" t="n"/>
      <c r="Q38" s="8" t="n"/>
      <c r="R38" s="14">
        <f>IF(C38="","",IF(A38="",1,0)+IF(J38="",1,0)+IF(AND(J38&lt;&gt;"",K38&lt;&gt;""),IF(K38&gt;J38,1,0),0)+IF(G38="Short",1,0)+IF(I38="No",1,0)+IF(IFERROR(INDEX(Classes!$C$6:$C$45,MATCH(A38,Classes!$B$6:$B$45,0)),"")&lt;&gt;B38,1,0))</f>
        <v/>
      </c>
    </row>
    <row r="39">
      <c r="A39" s="8" t="n"/>
      <c r="B39" s="12">
        <f>IF(C39="","",LEFT(C39,FIND(" |",C39)-1))</f>
        <v/>
      </c>
      <c r="C39" s="8" t="n"/>
      <c r="D39" s="18" t="n"/>
      <c r="E39" s="18" t="n"/>
      <c r="F39" s="14">
        <f>IF(OR(D39="",E39=""),"",D39-E39)</f>
        <v/>
      </c>
      <c r="G39" s="12">
        <f>IF(F39="","",IF(F39&gt;=Setup!$B$8,"OK","Short"))</f>
        <v/>
      </c>
      <c r="H39" s="8" t="n"/>
      <c r="I39" s="8" t="n"/>
      <c r="J39" s="14">
        <f>IF(OR(A39="",C39=""),"",IFERROR(INDEX(Classes!$D$6:$D$45,MATCH(A39,Classes!$B$6:$B$45,0)),""))</f>
        <v/>
      </c>
      <c r="K39" s="8" t="n"/>
      <c r="L39" s="8" t="n"/>
      <c r="M39" s="15">
        <f>IF(OR(J39="",J39=0,K39=""),"",K39/J39)</f>
        <v/>
      </c>
      <c r="N39" s="8" t="n"/>
      <c r="O39" s="8" t="n"/>
      <c r="P39" s="8" t="n"/>
      <c r="Q39" s="8" t="n"/>
      <c r="R39" s="14">
        <f>IF(C39="","",IF(A39="",1,0)+IF(J39="",1,0)+IF(AND(J39&lt;&gt;"",K39&lt;&gt;""),IF(K39&gt;J39,1,0),0)+IF(G39="Short",1,0)+IF(I39="No",1,0)+IF(IFERROR(INDEX(Classes!$C$6:$C$45,MATCH(A39,Classes!$B$6:$B$45,0)),"")&lt;&gt;B39,1,0))</f>
        <v/>
      </c>
    </row>
    <row r="40">
      <c r="A40" s="8" t="n"/>
      <c r="B40" s="12">
        <f>IF(C40="","",LEFT(C40,FIND(" |",C40)-1))</f>
        <v/>
      </c>
      <c r="C40" s="8" t="n"/>
      <c r="D40" s="18" t="n"/>
      <c r="E40" s="18" t="n"/>
      <c r="F40" s="14">
        <f>IF(OR(D40="",E40=""),"",D40-E40)</f>
        <v/>
      </c>
      <c r="G40" s="12">
        <f>IF(F40="","",IF(F40&gt;=Setup!$B$8,"OK","Short"))</f>
        <v/>
      </c>
      <c r="H40" s="8" t="n"/>
      <c r="I40" s="8" t="n"/>
      <c r="J40" s="14">
        <f>IF(OR(A40="",C40=""),"",IFERROR(INDEX(Classes!$D$6:$D$45,MATCH(A40,Classes!$B$6:$B$45,0)),""))</f>
        <v/>
      </c>
      <c r="K40" s="8" t="n"/>
      <c r="L40" s="8" t="n"/>
      <c r="M40" s="15">
        <f>IF(OR(J40="",J40=0,K40=""),"",K40/J40)</f>
        <v/>
      </c>
      <c r="N40" s="8" t="n"/>
      <c r="O40" s="8" t="n"/>
      <c r="P40" s="8" t="n"/>
      <c r="Q40" s="8" t="n"/>
      <c r="R40" s="14">
        <f>IF(C40="","",IF(A40="",1,0)+IF(J40="",1,0)+IF(AND(J40&lt;&gt;"",K40&lt;&gt;""),IF(K40&gt;J40,1,0),0)+IF(G40="Short",1,0)+IF(I40="No",1,0)+IF(IFERROR(INDEX(Classes!$C$6:$C$45,MATCH(A40,Classes!$B$6:$B$45,0)),"")&lt;&gt;B40,1,0))</f>
        <v/>
      </c>
    </row>
    <row r="41">
      <c r="A41" s="8" t="n"/>
      <c r="B41" s="12">
        <f>IF(C41="","",LEFT(C41,FIND(" |",C41)-1))</f>
        <v/>
      </c>
      <c r="C41" s="8" t="n"/>
      <c r="D41" s="18" t="n"/>
      <c r="E41" s="18" t="n"/>
      <c r="F41" s="14">
        <f>IF(OR(D41="",E41=""),"",D41-E41)</f>
        <v/>
      </c>
      <c r="G41" s="12">
        <f>IF(F41="","",IF(F41&gt;=Setup!$B$8,"OK","Short"))</f>
        <v/>
      </c>
      <c r="H41" s="8" t="n"/>
      <c r="I41" s="8" t="n"/>
      <c r="J41" s="14">
        <f>IF(OR(A41="",C41=""),"",IFERROR(INDEX(Classes!$D$6:$D$45,MATCH(A41,Classes!$B$6:$B$45,0)),""))</f>
        <v/>
      </c>
      <c r="K41" s="8" t="n"/>
      <c r="L41" s="8" t="n"/>
      <c r="M41" s="15">
        <f>IF(OR(J41="",J41=0,K41=""),"",K41/J41)</f>
        <v/>
      </c>
      <c r="N41" s="8" t="n"/>
      <c r="O41" s="8" t="n"/>
      <c r="P41" s="8" t="n"/>
      <c r="Q41" s="8" t="n"/>
      <c r="R41" s="14">
        <f>IF(C41="","",IF(A41="",1,0)+IF(J41="",1,0)+IF(AND(J41&lt;&gt;"",K41&lt;&gt;""),IF(K41&gt;J41,1,0),0)+IF(G41="Short",1,0)+IF(I41="No",1,0)+IF(IFERROR(INDEX(Classes!$C$6:$C$45,MATCH(A41,Classes!$B$6:$B$45,0)),"")&lt;&gt;B41,1,0))</f>
        <v/>
      </c>
    </row>
    <row r="42">
      <c r="A42" s="8" t="n"/>
      <c r="B42" s="12">
        <f>IF(C42="","",LEFT(C42,FIND(" |",C42)-1))</f>
        <v/>
      </c>
      <c r="C42" s="8" t="n"/>
      <c r="D42" s="18" t="n"/>
      <c r="E42" s="18" t="n"/>
      <c r="F42" s="14">
        <f>IF(OR(D42="",E42=""),"",D42-E42)</f>
        <v/>
      </c>
      <c r="G42" s="12">
        <f>IF(F42="","",IF(F42&gt;=Setup!$B$8,"OK","Short"))</f>
        <v/>
      </c>
      <c r="H42" s="8" t="n"/>
      <c r="I42" s="8" t="n"/>
      <c r="J42" s="14">
        <f>IF(OR(A42="",C42=""),"",IFERROR(INDEX(Classes!$D$6:$D$45,MATCH(A42,Classes!$B$6:$B$45,0)),""))</f>
        <v/>
      </c>
      <c r="K42" s="8" t="n"/>
      <c r="L42" s="8" t="n"/>
      <c r="M42" s="15">
        <f>IF(OR(J42="",J42=0,K42=""),"",K42/J42)</f>
        <v/>
      </c>
      <c r="N42" s="8" t="n"/>
      <c r="O42" s="8" t="n"/>
      <c r="P42" s="8" t="n"/>
      <c r="Q42" s="8" t="n"/>
      <c r="R42" s="14">
        <f>IF(C42="","",IF(A42="",1,0)+IF(J42="",1,0)+IF(AND(J42&lt;&gt;"",K42&lt;&gt;""),IF(K42&gt;J42,1,0),0)+IF(G42="Short",1,0)+IF(I42="No",1,0)+IF(IFERROR(INDEX(Classes!$C$6:$C$45,MATCH(A42,Classes!$B$6:$B$45,0)),"")&lt;&gt;B42,1,0))</f>
        <v/>
      </c>
    </row>
    <row r="43">
      <c r="A43" s="8" t="n"/>
      <c r="B43" s="12">
        <f>IF(C43="","",LEFT(C43,FIND(" |",C43)-1))</f>
        <v/>
      </c>
      <c r="C43" s="8" t="n"/>
      <c r="D43" s="18" t="n"/>
      <c r="E43" s="18" t="n"/>
      <c r="F43" s="14">
        <f>IF(OR(D43="",E43=""),"",D43-E43)</f>
        <v/>
      </c>
      <c r="G43" s="12">
        <f>IF(F43="","",IF(F43&gt;=Setup!$B$8,"OK","Short"))</f>
        <v/>
      </c>
      <c r="H43" s="8" t="n"/>
      <c r="I43" s="8" t="n"/>
      <c r="J43" s="14">
        <f>IF(OR(A43="",C43=""),"",IFERROR(INDEX(Classes!$D$6:$D$45,MATCH(A43,Classes!$B$6:$B$45,0)),""))</f>
        <v/>
      </c>
      <c r="K43" s="8" t="n"/>
      <c r="L43" s="8" t="n"/>
      <c r="M43" s="15">
        <f>IF(OR(J43="",J43=0,K43=""),"",K43/J43)</f>
        <v/>
      </c>
      <c r="N43" s="8" t="n"/>
      <c r="O43" s="8" t="n"/>
      <c r="P43" s="8" t="n"/>
      <c r="Q43" s="8" t="n"/>
      <c r="R43" s="14">
        <f>IF(C43="","",IF(A43="",1,0)+IF(J43="",1,0)+IF(AND(J43&lt;&gt;"",K43&lt;&gt;""),IF(K43&gt;J43,1,0),0)+IF(G43="Short",1,0)+IF(I43="No",1,0)+IF(IFERROR(INDEX(Classes!$C$6:$C$45,MATCH(A43,Classes!$B$6:$B$45,0)),"")&lt;&gt;B43,1,0))</f>
        <v/>
      </c>
    </row>
    <row r="44">
      <c r="A44" s="8" t="n"/>
      <c r="B44" s="12">
        <f>IF(C44="","",LEFT(C44,FIND(" |",C44)-1))</f>
        <v/>
      </c>
      <c r="C44" s="8" t="n"/>
      <c r="D44" s="18" t="n"/>
      <c r="E44" s="18" t="n"/>
      <c r="F44" s="14">
        <f>IF(OR(D44="",E44=""),"",D44-E44)</f>
        <v/>
      </c>
      <c r="G44" s="12">
        <f>IF(F44="","",IF(F44&gt;=Setup!$B$8,"OK","Short"))</f>
        <v/>
      </c>
      <c r="H44" s="8" t="n"/>
      <c r="I44" s="8" t="n"/>
      <c r="J44" s="14">
        <f>IF(OR(A44="",C44=""),"",IFERROR(INDEX(Classes!$D$6:$D$45,MATCH(A44,Classes!$B$6:$B$45,0)),""))</f>
        <v/>
      </c>
      <c r="K44" s="8" t="n"/>
      <c r="L44" s="8" t="n"/>
      <c r="M44" s="15">
        <f>IF(OR(J44="",J44=0,K44=""),"",K44/J44)</f>
        <v/>
      </c>
      <c r="N44" s="8" t="n"/>
      <c r="O44" s="8" t="n"/>
      <c r="P44" s="8" t="n"/>
      <c r="Q44" s="8" t="n"/>
      <c r="R44" s="14">
        <f>IF(C44="","",IF(A44="",1,0)+IF(J44="",1,0)+IF(AND(J44&lt;&gt;"",K44&lt;&gt;""),IF(K44&gt;J44,1,0),0)+IF(G44="Short",1,0)+IF(I44="No",1,0)+IF(IFERROR(INDEX(Classes!$C$6:$C$45,MATCH(A44,Classes!$B$6:$B$45,0)),"")&lt;&gt;B44,1,0))</f>
        <v/>
      </c>
    </row>
    <row r="45">
      <c r="A45" s="8" t="n"/>
      <c r="B45" s="12">
        <f>IF(C45="","",LEFT(C45,FIND(" |",C45)-1))</f>
        <v/>
      </c>
      <c r="C45" s="8" t="n"/>
      <c r="D45" s="18" t="n"/>
      <c r="E45" s="18" t="n"/>
      <c r="F45" s="14">
        <f>IF(OR(D45="",E45=""),"",D45-E45)</f>
        <v/>
      </c>
      <c r="G45" s="12">
        <f>IF(F45="","",IF(F45&gt;=Setup!$B$8,"OK","Short"))</f>
        <v/>
      </c>
      <c r="H45" s="8" t="n"/>
      <c r="I45" s="8" t="n"/>
      <c r="J45" s="14">
        <f>IF(OR(A45="",C45=""),"",IFERROR(INDEX(Classes!$D$6:$D$45,MATCH(A45,Classes!$B$6:$B$45,0)),""))</f>
        <v/>
      </c>
      <c r="K45" s="8" t="n"/>
      <c r="L45" s="8" t="n"/>
      <c r="M45" s="15">
        <f>IF(OR(J45="",J45=0,K45=""),"",K45/J45)</f>
        <v/>
      </c>
      <c r="N45" s="8" t="n"/>
      <c r="O45" s="8" t="n"/>
      <c r="P45" s="8" t="n"/>
      <c r="Q45" s="8" t="n"/>
      <c r="R45" s="14">
        <f>IF(C45="","",IF(A45="",1,0)+IF(J45="",1,0)+IF(AND(J45&lt;&gt;"",K45&lt;&gt;""),IF(K45&gt;J45,1,0),0)+IF(G45="Short",1,0)+IF(I45="No",1,0)+IF(IFERROR(INDEX(Classes!$C$6:$C$45,MATCH(A45,Classes!$B$6:$B$45,0)),"")&lt;&gt;B45,1,0))</f>
        <v/>
      </c>
    </row>
    <row r="46">
      <c r="A46" s="8" t="n"/>
      <c r="B46" s="12">
        <f>IF(C46="","",LEFT(C46,FIND(" |",C46)-1))</f>
        <v/>
      </c>
      <c r="C46" s="8" t="n"/>
      <c r="D46" s="18" t="n"/>
      <c r="E46" s="18" t="n"/>
      <c r="F46" s="14">
        <f>IF(OR(D46="",E46=""),"",D46-E46)</f>
        <v/>
      </c>
      <c r="G46" s="12">
        <f>IF(F46="","",IF(F46&gt;=Setup!$B$8,"OK","Short"))</f>
        <v/>
      </c>
      <c r="H46" s="8" t="n"/>
      <c r="I46" s="8" t="n"/>
      <c r="J46" s="14">
        <f>IF(OR(A46="",C46=""),"",IFERROR(INDEX(Classes!$D$6:$D$45,MATCH(A46,Classes!$B$6:$B$45,0)),""))</f>
        <v/>
      </c>
      <c r="K46" s="8" t="n"/>
      <c r="L46" s="8" t="n"/>
      <c r="M46" s="15">
        <f>IF(OR(J46="",J46=0,K46=""),"",K46/J46)</f>
        <v/>
      </c>
      <c r="N46" s="8" t="n"/>
      <c r="O46" s="8" t="n"/>
      <c r="P46" s="8" t="n"/>
      <c r="Q46" s="8" t="n"/>
      <c r="R46" s="14">
        <f>IF(C46="","",IF(A46="",1,0)+IF(J46="",1,0)+IF(AND(J46&lt;&gt;"",K46&lt;&gt;""),IF(K46&gt;J46,1,0),0)+IF(G46="Short",1,0)+IF(I46="No",1,0)+IF(IFERROR(INDEX(Classes!$C$6:$C$45,MATCH(A46,Classes!$B$6:$B$45,0)),"")&lt;&gt;B46,1,0))</f>
        <v/>
      </c>
    </row>
    <row r="47">
      <c r="A47" s="8" t="n"/>
      <c r="B47" s="12">
        <f>IF(C47="","",LEFT(C47,FIND(" |",C47)-1))</f>
        <v/>
      </c>
      <c r="C47" s="8" t="n"/>
      <c r="D47" s="18" t="n"/>
      <c r="E47" s="18" t="n"/>
      <c r="F47" s="14">
        <f>IF(OR(D47="",E47=""),"",D47-E47)</f>
        <v/>
      </c>
      <c r="G47" s="12">
        <f>IF(F47="","",IF(F47&gt;=Setup!$B$8,"OK","Short"))</f>
        <v/>
      </c>
      <c r="H47" s="8" t="n"/>
      <c r="I47" s="8" t="n"/>
      <c r="J47" s="14">
        <f>IF(OR(A47="",C47=""),"",IFERROR(INDEX(Classes!$D$6:$D$45,MATCH(A47,Classes!$B$6:$B$45,0)),""))</f>
        <v/>
      </c>
      <c r="K47" s="8" t="n"/>
      <c r="L47" s="8" t="n"/>
      <c r="M47" s="15">
        <f>IF(OR(J47="",J47=0,K47=""),"",K47/J47)</f>
        <v/>
      </c>
      <c r="N47" s="8" t="n"/>
      <c r="O47" s="8" t="n"/>
      <c r="P47" s="8" t="n"/>
      <c r="Q47" s="8" t="n"/>
      <c r="R47" s="14">
        <f>IF(C47="","",IF(A47="",1,0)+IF(J47="",1,0)+IF(AND(J47&lt;&gt;"",K47&lt;&gt;""),IF(K47&gt;J47,1,0),0)+IF(G47="Short",1,0)+IF(I47="No",1,0)+IF(IFERROR(INDEX(Classes!$C$6:$C$45,MATCH(A47,Classes!$B$6:$B$45,0)),"")&lt;&gt;B47,1,0))</f>
        <v/>
      </c>
    </row>
    <row r="48">
      <c r="A48" s="8" t="n"/>
      <c r="B48" s="12">
        <f>IF(C48="","",LEFT(C48,FIND(" |",C48)-1))</f>
        <v/>
      </c>
      <c r="C48" s="8" t="n"/>
      <c r="D48" s="18" t="n"/>
      <c r="E48" s="18" t="n"/>
      <c r="F48" s="14">
        <f>IF(OR(D48="",E48=""),"",D48-E48)</f>
        <v/>
      </c>
      <c r="G48" s="12">
        <f>IF(F48="","",IF(F48&gt;=Setup!$B$8,"OK","Short"))</f>
        <v/>
      </c>
      <c r="H48" s="8" t="n"/>
      <c r="I48" s="8" t="n"/>
      <c r="J48" s="14">
        <f>IF(OR(A48="",C48=""),"",IFERROR(INDEX(Classes!$D$6:$D$45,MATCH(A48,Classes!$B$6:$B$45,0)),""))</f>
        <v/>
      </c>
      <c r="K48" s="8" t="n"/>
      <c r="L48" s="8" t="n"/>
      <c r="M48" s="15">
        <f>IF(OR(J48="",J48=0,K48=""),"",K48/J48)</f>
        <v/>
      </c>
      <c r="N48" s="8" t="n"/>
      <c r="O48" s="8" t="n"/>
      <c r="P48" s="8" t="n"/>
      <c r="Q48" s="8" t="n"/>
      <c r="R48" s="14">
        <f>IF(C48="","",IF(A48="",1,0)+IF(J48="",1,0)+IF(AND(J48&lt;&gt;"",K48&lt;&gt;""),IF(K48&gt;J48,1,0),0)+IF(G48="Short",1,0)+IF(I48="No",1,0)+IF(IFERROR(INDEX(Classes!$C$6:$C$45,MATCH(A48,Classes!$B$6:$B$45,0)),"")&lt;&gt;B48,1,0))</f>
        <v/>
      </c>
    </row>
    <row r="49">
      <c r="A49" s="8" t="n"/>
      <c r="B49" s="12">
        <f>IF(C49="","",LEFT(C49,FIND(" |",C49)-1))</f>
        <v/>
      </c>
      <c r="C49" s="8" t="n"/>
      <c r="D49" s="18" t="n"/>
      <c r="E49" s="18" t="n"/>
      <c r="F49" s="14">
        <f>IF(OR(D49="",E49=""),"",D49-E49)</f>
        <v/>
      </c>
      <c r="G49" s="12">
        <f>IF(F49="","",IF(F49&gt;=Setup!$B$8,"OK","Short"))</f>
        <v/>
      </c>
      <c r="H49" s="8" t="n"/>
      <c r="I49" s="8" t="n"/>
      <c r="J49" s="14">
        <f>IF(OR(A49="",C49=""),"",IFERROR(INDEX(Classes!$D$6:$D$45,MATCH(A49,Classes!$B$6:$B$45,0)),""))</f>
        <v/>
      </c>
      <c r="K49" s="8" t="n"/>
      <c r="L49" s="8" t="n"/>
      <c r="M49" s="15">
        <f>IF(OR(J49="",J49=0,K49=""),"",K49/J49)</f>
        <v/>
      </c>
      <c r="N49" s="8" t="n"/>
      <c r="O49" s="8" t="n"/>
      <c r="P49" s="8" t="n"/>
      <c r="Q49" s="8" t="n"/>
      <c r="R49" s="14">
        <f>IF(C49="","",IF(A49="",1,0)+IF(J49="",1,0)+IF(AND(J49&lt;&gt;"",K49&lt;&gt;""),IF(K49&gt;J49,1,0),0)+IF(G49="Short",1,0)+IF(I49="No",1,0)+IF(IFERROR(INDEX(Classes!$C$6:$C$45,MATCH(A49,Classes!$B$6:$B$45,0)),"")&lt;&gt;B49,1,0))</f>
        <v/>
      </c>
    </row>
    <row r="50">
      <c r="A50" s="8" t="n"/>
      <c r="B50" s="12">
        <f>IF(C50="","",LEFT(C50,FIND(" |",C50)-1))</f>
        <v/>
      </c>
      <c r="C50" s="8" t="n"/>
      <c r="D50" s="18" t="n"/>
      <c r="E50" s="18" t="n"/>
      <c r="F50" s="14">
        <f>IF(OR(D50="",E50=""),"",D50-E50)</f>
        <v/>
      </c>
      <c r="G50" s="12">
        <f>IF(F50="","",IF(F50&gt;=Setup!$B$8,"OK","Short"))</f>
        <v/>
      </c>
      <c r="H50" s="8" t="n"/>
      <c r="I50" s="8" t="n"/>
      <c r="J50" s="14">
        <f>IF(OR(A50="",C50=""),"",IFERROR(INDEX(Classes!$D$6:$D$45,MATCH(A50,Classes!$B$6:$B$45,0)),""))</f>
        <v/>
      </c>
      <c r="K50" s="8" t="n"/>
      <c r="L50" s="8" t="n"/>
      <c r="M50" s="15">
        <f>IF(OR(J50="",J50=0,K50=""),"",K50/J50)</f>
        <v/>
      </c>
      <c r="N50" s="8" t="n"/>
      <c r="O50" s="8" t="n"/>
      <c r="P50" s="8" t="n"/>
      <c r="Q50" s="8" t="n"/>
      <c r="R50" s="14">
        <f>IF(C50="","",IF(A50="",1,0)+IF(J50="",1,0)+IF(AND(J50&lt;&gt;"",K50&lt;&gt;""),IF(K50&gt;J50,1,0),0)+IF(G50="Short",1,0)+IF(I50="No",1,0)+IF(IFERROR(INDEX(Classes!$C$6:$C$45,MATCH(A50,Classes!$B$6:$B$45,0)),"")&lt;&gt;B50,1,0))</f>
        <v/>
      </c>
    </row>
    <row r="51">
      <c r="A51" s="8" t="n"/>
      <c r="B51" s="12">
        <f>IF(C51="","",LEFT(C51,FIND(" |",C51)-1))</f>
        <v/>
      </c>
      <c r="C51" s="8" t="n"/>
      <c r="D51" s="18" t="n"/>
      <c r="E51" s="18" t="n"/>
      <c r="F51" s="14">
        <f>IF(OR(D51="",E51=""),"",D51-E51)</f>
        <v/>
      </c>
      <c r="G51" s="12">
        <f>IF(F51="","",IF(F51&gt;=Setup!$B$8,"OK","Short"))</f>
        <v/>
      </c>
      <c r="H51" s="8" t="n"/>
      <c r="I51" s="8" t="n"/>
      <c r="J51" s="14">
        <f>IF(OR(A51="",C51=""),"",IFERROR(INDEX(Classes!$D$6:$D$45,MATCH(A51,Classes!$B$6:$B$45,0)),""))</f>
        <v/>
      </c>
      <c r="K51" s="8" t="n"/>
      <c r="L51" s="8" t="n"/>
      <c r="M51" s="15">
        <f>IF(OR(J51="",J51=0,K51=""),"",K51/J51)</f>
        <v/>
      </c>
      <c r="N51" s="8" t="n"/>
      <c r="O51" s="8" t="n"/>
      <c r="P51" s="8" t="n"/>
      <c r="Q51" s="8" t="n"/>
      <c r="R51" s="14">
        <f>IF(C51="","",IF(A51="",1,0)+IF(J51="",1,0)+IF(AND(J51&lt;&gt;"",K51&lt;&gt;""),IF(K51&gt;J51,1,0),0)+IF(G51="Short",1,0)+IF(I51="No",1,0)+IF(IFERROR(INDEX(Classes!$C$6:$C$45,MATCH(A51,Classes!$B$6:$B$45,0)),"")&lt;&gt;B51,1,0))</f>
        <v/>
      </c>
    </row>
    <row r="52">
      <c r="A52" s="8" t="n"/>
      <c r="B52" s="12">
        <f>IF(C52="","",LEFT(C52,FIND(" |",C52)-1))</f>
        <v/>
      </c>
      <c r="C52" s="8" t="n"/>
      <c r="D52" s="18" t="n"/>
      <c r="E52" s="18" t="n"/>
      <c r="F52" s="14">
        <f>IF(OR(D52="",E52=""),"",D52-E52)</f>
        <v/>
      </c>
      <c r="G52" s="12">
        <f>IF(F52="","",IF(F52&gt;=Setup!$B$8,"OK","Short"))</f>
        <v/>
      </c>
      <c r="H52" s="8" t="n"/>
      <c r="I52" s="8" t="n"/>
      <c r="J52" s="14">
        <f>IF(OR(A52="",C52=""),"",IFERROR(INDEX(Classes!$D$6:$D$45,MATCH(A52,Classes!$B$6:$B$45,0)),""))</f>
        <v/>
      </c>
      <c r="K52" s="8" t="n"/>
      <c r="L52" s="8" t="n"/>
      <c r="M52" s="15">
        <f>IF(OR(J52="",J52=0,K52=""),"",K52/J52)</f>
        <v/>
      </c>
      <c r="N52" s="8" t="n"/>
      <c r="O52" s="8" t="n"/>
      <c r="P52" s="8" t="n"/>
      <c r="Q52" s="8" t="n"/>
      <c r="R52" s="14">
        <f>IF(C52="","",IF(A52="",1,0)+IF(J52="",1,0)+IF(AND(J52&lt;&gt;"",K52&lt;&gt;""),IF(K52&gt;J52,1,0),0)+IF(G52="Short",1,0)+IF(I52="No",1,0)+IF(IFERROR(INDEX(Classes!$C$6:$C$45,MATCH(A52,Classes!$B$6:$B$45,0)),"")&lt;&gt;B52,1,0))</f>
        <v/>
      </c>
    </row>
    <row r="53">
      <c r="A53" s="8" t="n"/>
      <c r="B53" s="12">
        <f>IF(C53="","",LEFT(C53,FIND(" |",C53)-1))</f>
        <v/>
      </c>
      <c r="C53" s="8" t="n"/>
      <c r="D53" s="18" t="n"/>
      <c r="E53" s="18" t="n"/>
      <c r="F53" s="14">
        <f>IF(OR(D53="",E53=""),"",D53-E53)</f>
        <v/>
      </c>
      <c r="G53" s="12">
        <f>IF(F53="","",IF(F53&gt;=Setup!$B$8,"OK","Short"))</f>
        <v/>
      </c>
      <c r="H53" s="8" t="n"/>
      <c r="I53" s="8" t="n"/>
      <c r="J53" s="14">
        <f>IF(OR(A53="",C53=""),"",IFERROR(INDEX(Classes!$D$6:$D$45,MATCH(A53,Classes!$B$6:$B$45,0)),""))</f>
        <v/>
      </c>
      <c r="K53" s="8" t="n"/>
      <c r="L53" s="8" t="n"/>
      <c r="M53" s="15">
        <f>IF(OR(J53="",J53=0,K53=""),"",K53/J53)</f>
        <v/>
      </c>
      <c r="N53" s="8" t="n"/>
      <c r="O53" s="8" t="n"/>
      <c r="P53" s="8" t="n"/>
      <c r="Q53" s="8" t="n"/>
      <c r="R53" s="14">
        <f>IF(C53="","",IF(A53="",1,0)+IF(J53="",1,0)+IF(AND(J53&lt;&gt;"",K53&lt;&gt;""),IF(K53&gt;J53,1,0),0)+IF(G53="Short",1,0)+IF(I53="No",1,0)+IF(IFERROR(INDEX(Classes!$C$6:$C$45,MATCH(A53,Classes!$B$6:$B$45,0)),"")&lt;&gt;B53,1,0))</f>
        <v/>
      </c>
    </row>
    <row r="54">
      <c r="A54" s="8" t="n"/>
      <c r="B54" s="12">
        <f>IF(C54="","",LEFT(C54,FIND(" |",C54)-1))</f>
        <v/>
      </c>
      <c r="C54" s="8" t="n"/>
      <c r="D54" s="18" t="n"/>
      <c r="E54" s="18" t="n"/>
      <c r="F54" s="14">
        <f>IF(OR(D54="",E54=""),"",D54-E54)</f>
        <v/>
      </c>
      <c r="G54" s="12">
        <f>IF(F54="","",IF(F54&gt;=Setup!$B$8,"OK","Short"))</f>
        <v/>
      </c>
      <c r="H54" s="8" t="n"/>
      <c r="I54" s="8" t="n"/>
      <c r="J54" s="14">
        <f>IF(OR(A54="",C54=""),"",IFERROR(INDEX(Classes!$D$6:$D$45,MATCH(A54,Classes!$B$6:$B$45,0)),""))</f>
        <v/>
      </c>
      <c r="K54" s="8" t="n"/>
      <c r="L54" s="8" t="n"/>
      <c r="M54" s="15">
        <f>IF(OR(J54="",J54=0,K54=""),"",K54/J54)</f>
        <v/>
      </c>
      <c r="N54" s="8" t="n"/>
      <c r="O54" s="8" t="n"/>
      <c r="P54" s="8" t="n"/>
      <c r="Q54" s="8" t="n"/>
      <c r="R54" s="14">
        <f>IF(C54="","",IF(A54="",1,0)+IF(J54="",1,0)+IF(AND(J54&lt;&gt;"",K54&lt;&gt;""),IF(K54&gt;J54,1,0),0)+IF(G54="Short",1,0)+IF(I54="No",1,0)+IF(IFERROR(INDEX(Classes!$C$6:$C$45,MATCH(A54,Classes!$B$6:$B$45,0)),"")&lt;&gt;B54,1,0))</f>
        <v/>
      </c>
    </row>
    <row r="55">
      <c r="A55" s="8" t="n"/>
      <c r="B55" s="12">
        <f>IF(C55="","",LEFT(C55,FIND(" |",C55)-1))</f>
        <v/>
      </c>
      <c r="C55" s="8" t="n"/>
      <c r="D55" s="18" t="n"/>
      <c r="E55" s="18" t="n"/>
      <c r="F55" s="14">
        <f>IF(OR(D55="",E55=""),"",D55-E55)</f>
        <v/>
      </c>
      <c r="G55" s="12">
        <f>IF(F55="","",IF(F55&gt;=Setup!$B$8,"OK","Short"))</f>
        <v/>
      </c>
      <c r="H55" s="8" t="n"/>
      <c r="I55" s="8" t="n"/>
      <c r="J55" s="14">
        <f>IF(OR(A55="",C55=""),"",IFERROR(INDEX(Classes!$D$6:$D$45,MATCH(A55,Classes!$B$6:$B$45,0)),""))</f>
        <v/>
      </c>
      <c r="K55" s="8" t="n"/>
      <c r="L55" s="8" t="n"/>
      <c r="M55" s="15">
        <f>IF(OR(J55="",J55=0,K55=""),"",K55/J55)</f>
        <v/>
      </c>
      <c r="N55" s="8" t="n"/>
      <c r="O55" s="8" t="n"/>
      <c r="P55" s="8" t="n"/>
      <c r="Q55" s="8" t="n"/>
      <c r="R55" s="14">
        <f>IF(C55="","",IF(A55="",1,0)+IF(J55="",1,0)+IF(AND(J55&lt;&gt;"",K55&lt;&gt;""),IF(K55&gt;J55,1,0),0)+IF(G55="Short",1,0)+IF(I55="No",1,0)+IF(IFERROR(INDEX(Classes!$C$6:$C$45,MATCH(A55,Classes!$B$6:$B$45,0)),"")&lt;&gt;B55,1,0))</f>
        <v/>
      </c>
    </row>
    <row r="56">
      <c r="A56" s="8" t="n"/>
      <c r="B56" s="12">
        <f>IF(C56="","",LEFT(C56,FIND(" |",C56)-1))</f>
        <v/>
      </c>
      <c r="C56" s="8" t="n"/>
      <c r="D56" s="18" t="n"/>
      <c r="E56" s="18" t="n"/>
      <c r="F56" s="14">
        <f>IF(OR(D56="",E56=""),"",D56-E56)</f>
        <v/>
      </c>
      <c r="G56" s="12">
        <f>IF(F56="","",IF(F56&gt;=Setup!$B$8,"OK","Short"))</f>
        <v/>
      </c>
      <c r="H56" s="8" t="n"/>
      <c r="I56" s="8" t="n"/>
      <c r="J56" s="14">
        <f>IF(OR(A56="",C56=""),"",IFERROR(INDEX(Classes!$D$6:$D$45,MATCH(A56,Classes!$B$6:$B$45,0)),""))</f>
        <v/>
      </c>
      <c r="K56" s="8" t="n"/>
      <c r="L56" s="8" t="n"/>
      <c r="M56" s="15">
        <f>IF(OR(J56="",J56=0,K56=""),"",K56/J56)</f>
        <v/>
      </c>
      <c r="N56" s="8" t="n"/>
      <c r="O56" s="8" t="n"/>
      <c r="P56" s="8" t="n"/>
      <c r="Q56" s="8" t="n"/>
      <c r="R56" s="14">
        <f>IF(C56="","",IF(A56="",1,0)+IF(J56="",1,0)+IF(AND(J56&lt;&gt;"",K56&lt;&gt;""),IF(K56&gt;J56,1,0),0)+IF(G56="Short",1,0)+IF(I56="No",1,0)+IF(IFERROR(INDEX(Classes!$C$6:$C$45,MATCH(A56,Classes!$B$6:$B$45,0)),"")&lt;&gt;B56,1,0))</f>
        <v/>
      </c>
    </row>
    <row r="57">
      <c r="A57" s="8" t="n"/>
      <c r="B57" s="12">
        <f>IF(C57="","",LEFT(C57,FIND(" |",C57)-1))</f>
        <v/>
      </c>
      <c r="C57" s="8" t="n"/>
      <c r="D57" s="18" t="n"/>
      <c r="E57" s="18" t="n"/>
      <c r="F57" s="14">
        <f>IF(OR(D57="",E57=""),"",D57-E57)</f>
        <v/>
      </c>
      <c r="G57" s="12">
        <f>IF(F57="","",IF(F57&gt;=Setup!$B$8,"OK","Short"))</f>
        <v/>
      </c>
      <c r="H57" s="8" t="n"/>
      <c r="I57" s="8" t="n"/>
      <c r="J57" s="14">
        <f>IF(OR(A57="",C57=""),"",IFERROR(INDEX(Classes!$D$6:$D$45,MATCH(A57,Classes!$B$6:$B$45,0)),""))</f>
        <v/>
      </c>
      <c r="K57" s="8" t="n"/>
      <c r="L57" s="8" t="n"/>
      <c r="M57" s="15">
        <f>IF(OR(J57="",J57=0,K57=""),"",K57/J57)</f>
        <v/>
      </c>
      <c r="N57" s="8" t="n"/>
      <c r="O57" s="8" t="n"/>
      <c r="P57" s="8" t="n"/>
      <c r="Q57" s="8" t="n"/>
      <c r="R57" s="14">
        <f>IF(C57="","",IF(A57="",1,0)+IF(J57="",1,0)+IF(AND(J57&lt;&gt;"",K57&lt;&gt;""),IF(K57&gt;J57,1,0),0)+IF(G57="Short",1,0)+IF(I57="No",1,0)+IF(IFERROR(INDEX(Classes!$C$6:$C$45,MATCH(A57,Classes!$B$6:$B$45,0)),"")&lt;&gt;B57,1,0))</f>
        <v/>
      </c>
    </row>
    <row r="58">
      <c r="A58" s="8" t="n"/>
      <c r="B58" s="12">
        <f>IF(C58="","",LEFT(C58,FIND(" |",C58)-1))</f>
        <v/>
      </c>
      <c r="C58" s="8" t="n"/>
      <c r="D58" s="18" t="n"/>
      <c r="E58" s="18" t="n"/>
      <c r="F58" s="14">
        <f>IF(OR(D58="",E58=""),"",D58-E58)</f>
        <v/>
      </c>
      <c r="G58" s="12">
        <f>IF(F58="","",IF(F58&gt;=Setup!$B$8,"OK","Short"))</f>
        <v/>
      </c>
      <c r="H58" s="8" t="n"/>
      <c r="I58" s="8" t="n"/>
      <c r="J58" s="14">
        <f>IF(OR(A58="",C58=""),"",IFERROR(INDEX(Classes!$D$6:$D$45,MATCH(A58,Classes!$B$6:$B$45,0)),""))</f>
        <v/>
      </c>
      <c r="K58" s="8" t="n"/>
      <c r="L58" s="8" t="n"/>
      <c r="M58" s="15">
        <f>IF(OR(J58="",J58=0,K58=""),"",K58/J58)</f>
        <v/>
      </c>
      <c r="N58" s="8" t="n"/>
      <c r="O58" s="8" t="n"/>
      <c r="P58" s="8" t="n"/>
      <c r="Q58" s="8" t="n"/>
      <c r="R58" s="14">
        <f>IF(C58="","",IF(A58="",1,0)+IF(J58="",1,0)+IF(AND(J58&lt;&gt;"",K58&lt;&gt;""),IF(K58&gt;J58,1,0),0)+IF(G58="Short",1,0)+IF(I58="No",1,0)+IF(IFERROR(INDEX(Classes!$C$6:$C$45,MATCH(A58,Classes!$B$6:$B$45,0)),"")&lt;&gt;B58,1,0))</f>
        <v/>
      </c>
    </row>
    <row r="59">
      <c r="A59" s="8" t="n"/>
      <c r="B59" s="12">
        <f>IF(C59="","",LEFT(C59,FIND(" |",C59)-1))</f>
        <v/>
      </c>
      <c r="C59" s="8" t="n"/>
      <c r="D59" s="18" t="n"/>
      <c r="E59" s="18" t="n"/>
      <c r="F59" s="14">
        <f>IF(OR(D59="",E59=""),"",D59-E59)</f>
        <v/>
      </c>
      <c r="G59" s="12">
        <f>IF(F59="","",IF(F59&gt;=Setup!$B$8,"OK","Short"))</f>
        <v/>
      </c>
      <c r="H59" s="8" t="n"/>
      <c r="I59" s="8" t="n"/>
      <c r="J59" s="14">
        <f>IF(OR(A59="",C59=""),"",IFERROR(INDEX(Classes!$D$6:$D$45,MATCH(A59,Classes!$B$6:$B$45,0)),""))</f>
        <v/>
      </c>
      <c r="K59" s="8" t="n"/>
      <c r="L59" s="8" t="n"/>
      <c r="M59" s="15">
        <f>IF(OR(J59="",J59=0,K59=""),"",K59/J59)</f>
        <v/>
      </c>
      <c r="N59" s="8" t="n"/>
      <c r="O59" s="8" t="n"/>
      <c r="P59" s="8" t="n"/>
      <c r="Q59" s="8" t="n"/>
      <c r="R59" s="14">
        <f>IF(C59="","",IF(A59="",1,0)+IF(J59="",1,0)+IF(AND(J59&lt;&gt;"",K59&lt;&gt;""),IF(K59&gt;J59,1,0),0)+IF(G59="Short",1,0)+IF(I59="No",1,0)+IF(IFERROR(INDEX(Classes!$C$6:$C$45,MATCH(A59,Classes!$B$6:$B$45,0)),"")&lt;&gt;B59,1,0))</f>
        <v/>
      </c>
    </row>
    <row r="60">
      <c r="A60" s="8" t="n"/>
      <c r="B60" s="12">
        <f>IF(C60="","",LEFT(C60,FIND(" |",C60)-1))</f>
        <v/>
      </c>
      <c r="C60" s="8" t="n"/>
      <c r="D60" s="18" t="n"/>
      <c r="E60" s="18" t="n"/>
      <c r="F60" s="14">
        <f>IF(OR(D60="",E60=""),"",D60-E60)</f>
        <v/>
      </c>
      <c r="G60" s="12">
        <f>IF(F60="","",IF(F60&gt;=Setup!$B$8,"OK","Short"))</f>
        <v/>
      </c>
      <c r="H60" s="8" t="n"/>
      <c r="I60" s="8" t="n"/>
      <c r="J60" s="14">
        <f>IF(OR(A60="",C60=""),"",IFERROR(INDEX(Classes!$D$6:$D$45,MATCH(A60,Classes!$B$6:$B$45,0)),""))</f>
        <v/>
      </c>
      <c r="K60" s="8" t="n"/>
      <c r="L60" s="8" t="n"/>
      <c r="M60" s="15">
        <f>IF(OR(J60="",J60=0,K60=""),"",K60/J60)</f>
        <v/>
      </c>
      <c r="N60" s="8" t="n"/>
      <c r="O60" s="8" t="n"/>
      <c r="P60" s="8" t="n"/>
      <c r="Q60" s="8" t="n"/>
      <c r="R60" s="14">
        <f>IF(C60="","",IF(A60="",1,0)+IF(J60="",1,0)+IF(AND(J60&lt;&gt;"",K60&lt;&gt;""),IF(K60&gt;J60,1,0),0)+IF(G60="Short",1,0)+IF(I60="No",1,0)+IF(IFERROR(INDEX(Classes!$C$6:$C$45,MATCH(A60,Classes!$B$6:$B$45,0)),"")&lt;&gt;B60,1,0))</f>
        <v/>
      </c>
    </row>
    <row r="61">
      <c r="A61" s="8" t="n"/>
      <c r="B61" s="12">
        <f>IF(C61="","",LEFT(C61,FIND(" |",C61)-1))</f>
        <v/>
      </c>
      <c r="C61" s="8" t="n"/>
      <c r="D61" s="18" t="n"/>
      <c r="E61" s="18" t="n"/>
      <c r="F61" s="14">
        <f>IF(OR(D61="",E61=""),"",D61-E61)</f>
        <v/>
      </c>
      <c r="G61" s="12">
        <f>IF(F61="","",IF(F61&gt;=Setup!$B$8,"OK","Short"))</f>
        <v/>
      </c>
      <c r="H61" s="8" t="n"/>
      <c r="I61" s="8" t="n"/>
      <c r="J61" s="14">
        <f>IF(OR(A61="",C61=""),"",IFERROR(INDEX(Classes!$D$6:$D$45,MATCH(A61,Classes!$B$6:$B$45,0)),""))</f>
        <v/>
      </c>
      <c r="K61" s="8" t="n"/>
      <c r="L61" s="8" t="n"/>
      <c r="M61" s="15">
        <f>IF(OR(J61="",J61=0,K61=""),"",K61/J61)</f>
        <v/>
      </c>
      <c r="N61" s="8" t="n"/>
      <c r="O61" s="8" t="n"/>
      <c r="P61" s="8" t="n"/>
      <c r="Q61" s="8" t="n"/>
      <c r="R61" s="14">
        <f>IF(C61="","",IF(A61="",1,0)+IF(J61="",1,0)+IF(AND(J61&lt;&gt;"",K61&lt;&gt;""),IF(K61&gt;J61,1,0),0)+IF(G61="Short",1,0)+IF(I61="No",1,0)+IF(IFERROR(INDEX(Classes!$C$6:$C$45,MATCH(A61,Classes!$B$6:$B$45,0)),"")&lt;&gt;B61,1,0))</f>
        <v/>
      </c>
    </row>
    <row r="62">
      <c r="A62" s="8" t="n"/>
      <c r="B62" s="12">
        <f>IF(C62="","",LEFT(C62,FIND(" |",C62)-1))</f>
        <v/>
      </c>
      <c r="C62" s="8" t="n"/>
      <c r="D62" s="18" t="n"/>
      <c r="E62" s="18" t="n"/>
      <c r="F62" s="14">
        <f>IF(OR(D62="",E62=""),"",D62-E62)</f>
        <v/>
      </c>
      <c r="G62" s="12">
        <f>IF(F62="","",IF(F62&gt;=Setup!$B$8,"OK","Short"))</f>
        <v/>
      </c>
      <c r="H62" s="8" t="n"/>
      <c r="I62" s="8" t="n"/>
      <c r="J62" s="14">
        <f>IF(OR(A62="",C62=""),"",IFERROR(INDEX(Classes!$D$6:$D$45,MATCH(A62,Classes!$B$6:$B$45,0)),""))</f>
        <v/>
      </c>
      <c r="K62" s="8" t="n"/>
      <c r="L62" s="8" t="n"/>
      <c r="M62" s="15">
        <f>IF(OR(J62="",J62=0,K62=""),"",K62/J62)</f>
        <v/>
      </c>
      <c r="N62" s="8" t="n"/>
      <c r="O62" s="8" t="n"/>
      <c r="P62" s="8" t="n"/>
      <c r="Q62" s="8" t="n"/>
      <c r="R62" s="14">
        <f>IF(C62="","",IF(A62="",1,0)+IF(J62="",1,0)+IF(AND(J62&lt;&gt;"",K62&lt;&gt;""),IF(K62&gt;J62,1,0),0)+IF(G62="Short",1,0)+IF(I62="No",1,0)+IF(IFERROR(INDEX(Classes!$C$6:$C$45,MATCH(A62,Classes!$B$6:$B$45,0)),"")&lt;&gt;B62,1,0))</f>
        <v/>
      </c>
    </row>
    <row r="63">
      <c r="A63" s="8" t="n"/>
      <c r="B63" s="12">
        <f>IF(C63="","",LEFT(C63,FIND(" |",C63)-1))</f>
        <v/>
      </c>
      <c r="C63" s="8" t="n"/>
      <c r="D63" s="18" t="n"/>
      <c r="E63" s="18" t="n"/>
      <c r="F63" s="14">
        <f>IF(OR(D63="",E63=""),"",D63-E63)</f>
        <v/>
      </c>
      <c r="G63" s="12">
        <f>IF(F63="","",IF(F63&gt;=Setup!$B$8,"OK","Short"))</f>
        <v/>
      </c>
      <c r="H63" s="8" t="n"/>
      <c r="I63" s="8" t="n"/>
      <c r="J63" s="14">
        <f>IF(OR(A63="",C63=""),"",IFERROR(INDEX(Classes!$D$6:$D$45,MATCH(A63,Classes!$B$6:$B$45,0)),""))</f>
        <v/>
      </c>
      <c r="K63" s="8" t="n"/>
      <c r="L63" s="8" t="n"/>
      <c r="M63" s="15">
        <f>IF(OR(J63="",J63=0,K63=""),"",K63/J63)</f>
        <v/>
      </c>
      <c r="N63" s="8" t="n"/>
      <c r="O63" s="8" t="n"/>
      <c r="P63" s="8" t="n"/>
      <c r="Q63" s="8" t="n"/>
      <c r="R63" s="14">
        <f>IF(C63="","",IF(A63="",1,0)+IF(J63="",1,0)+IF(AND(J63&lt;&gt;"",K63&lt;&gt;""),IF(K63&gt;J63,1,0),0)+IF(G63="Short",1,0)+IF(I63="No",1,0)+IF(IFERROR(INDEX(Classes!$C$6:$C$45,MATCH(A63,Classes!$B$6:$B$45,0)),"")&lt;&gt;B63,1,0))</f>
        <v/>
      </c>
    </row>
    <row r="64">
      <c r="A64" s="8" t="n"/>
      <c r="B64" s="12">
        <f>IF(C64="","",LEFT(C64,FIND(" |",C64)-1))</f>
        <v/>
      </c>
      <c r="C64" s="8" t="n"/>
      <c r="D64" s="18" t="n"/>
      <c r="E64" s="18" t="n"/>
      <c r="F64" s="14">
        <f>IF(OR(D64="",E64=""),"",D64-E64)</f>
        <v/>
      </c>
      <c r="G64" s="12">
        <f>IF(F64="","",IF(F64&gt;=Setup!$B$8,"OK","Short"))</f>
        <v/>
      </c>
      <c r="H64" s="8" t="n"/>
      <c r="I64" s="8" t="n"/>
      <c r="J64" s="14">
        <f>IF(OR(A64="",C64=""),"",IFERROR(INDEX(Classes!$D$6:$D$45,MATCH(A64,Classes!$B$6:$B$45,0)),""))</f>
        <v/>
      </c>
      <c r="K64" s="8" t="n"/>
      <c r="L64" s="8" t="n"/>
      <c r="M64" s="15">
        <f>IF(OR(J64="",J64=0,K64=""),"",K64/J64)</f>
        <v/>
      </c>
      <c r="N64" s="8" t="n"/>
      <c r="O64" s="8" t="n"/>
      <c r="P64" s="8" t="n"/>
      <c r="Q64" s="8" t="n"/>
      <c r="R64" s="14">
        <f>IF(C64="","",IF(A64="",1,0)+IF(J64="",1,0)+IF(AND(J64&lt;&gt;"",K64&lt;&gt;""),IF(K64&gt;J64,1,0),0)+IF(G64="Short",1,0)+IF(I64="No",1,0)+IF(IFERROR(INDEX(Classes!$C$6:$C$45,MATCH(A64,Classes!$B$6:$B$45,0)),"")&lt;&gt;B64,1,0))</f>
        <v/>
      </c>
    </row>
    <row r="65">
      <c r="A65" s="8" t="n"/>
      <c r="B65" s="12">
        <f>IF(C65="","",LEFT(C65,FIND(" |",C65)-1))</f>
        <v/>
      </c>
      <c r="C65" s="8" t="n"/>
      <c r="D65" s="18" t="n"/>
      <c r="E65" s="18" t="n"/>
      <c r="F65" s="14">
        <f>IF(OR(D65="",E65=""),"",D65-E65)</f>
        <v/>
      </c>
      <c r="G65" s="12">
        <f>IF(F65="","",IF(F65&gt;=Setup!$B$8,"OK","Short"))</f>
        <v/>
      </c>
      <c r="H65" s="8" t="n"/>
      <c r="I65" s="8" t="n"/>
      <c r="J65" s="14">
        <f>IF(OR(A65="",C65=""),"",IFERROR(INDEX(Classes!$D$6:$D$45,MATCH(A65,Classes!$B$6:$B$45,0)),""))</f>
        <v/>
      </c>
      <c r="K65" s="8" t="n"/>
      <c r="L65" s="8" t="n"/>
      <c r="M65" s="15">
        <f>IF(OR(J65="",J65=0,K65=""),"",K65/J65)</f>
        <v/>
      </c>
      <c r="N65" s="8" t="n"/>
      <c r="O65" s="8" t="n"/>
      <c r="P65" s="8" t="n"/>
      <c r="Q65" s="8" t="n"/>
      <c r="R65" s="14">
        <f>IF(C65="","",IF(A65="",1,0)+IF(J65="",1,0)+IF(AND(J65&lt;&gt;"",K65&lt;&gt;""),IF(K65&gt;J65,1,0),0)+IF(G65="Short",1,0)+IF(I65="No",1,0)+IF(IFERROR(INDEX(Classes!$C$6:$C$45,MATCH(A65,Classes!$B$6:$B$45,0)),"")&lt;&gt;B65,1,0))</f>
        <v/>
      </c>
    </row>
    <row r="66">
      <c r="A66" s="8" t="n"/>
      <c r="B66" s="12">
        <f>IF(C66="","",LEFT(C66,FIND(" |",C66)-1))</f>
        <v/>
      </c>
      <c r="C66" s="8" t="n"/>
      <c r="D66" s="18" t="n"/>
      <c r="E66" s="18" t="n"/>
      <c r="F66" s="14">
        <f>IF(OR(D66="",E66=""),"",D66-E66)</f>
        <v/>
      </c>
      <c r="G66" s="12">
        <f>IF(F66="","",IF(F66&gt;=Setup!$B$8,"OK","Short"))</f>
        <v/>
      </c>
      <c r="H66" s="8" t="n"/>
      <c r="I66" s="8" t="n"/>
      <c r="J66" s="14">
        <f>IF(OR(A66="",C66=""),"",IFERROR(INDEX(Classes!$D$6:$D$45,MATCH(A66,Classes!$B$6:$B$45,0)),""))</f>
        <v/>
      </c>
      <c r="K66" s="8" t="n"/>
      <c r="L66" s="8" t="n"/>
      <c r="M66" s="15">
        <f>IF(OR(J66="",J66=0,K66=""),"",K66/J66)</f>
        <v/>
      </c>
      <c r="N66" s="8" t="n"/>
      <c r="O66" s="8" t="n"/>
      <c r="P66" s="8" t="n"/>
      <c r="Q66" s="8" t="n"/>
      <c r="R66" s="14">
        <f>IF(C66="","",IF(A66="",1,0)+IF(J66="",1,0)+IF(AND(J66&lt;&gt;"",K66&lt;&gt;""),IF(K66&gt;J66,1,0),0)+IF(G66="Short",1,0)+IF(I66="No",1,0)+IF(IFERROR(INDEX(Classes!$C$6:$C$45,MATCH(A66,Classes!$B$6:$B$45,0)),"")&lt;&gt;B66,1,0))</f>
        <v/>
      </c>
    </row>
    <row r="67">
      <c r="A67" s="8" t="n"/>
      <c r="B67" s="12">
        <f>IF(C67="","",LEFT(C67,FIND(" |",C67)-1))</f>
        <v/>
      </c>
      <c r="C67" s="8" t="n"/>
      <c r="D67" s="18" t="n"/>
      <c r="E67" s="18" t="n"/>
      <c r="F67" s="14">
        <f>IF(OR(D67="",E67=""),"",D67-E67)</f>
        <v/>
      </c>
      <c r="G67" s="12">
        <f>IF(F67="","",IF(F67&gt;=Setup!$B$8,"OK","Short"))</f>
        <v/>
      </c>
      <c r="H67" s="8" t="n"/>
      <c r="I67" s="8" t="n"/>
      <c r="J67" s="14">
        <f>IF(OR(A67="",C67=""),"",IFERROR(INDEX(Classes!$D$6:$D$45,MATCH(A67,Classes!$B$6:$B$45,0)),""))</f>
        <v/>
      </c>
      <c r="K67" s="8" t="n"/>
      <c r="L67" s="8" t="n"/>
      <c r="M67" s="15">
        <f>IF(OR(J67="",J67=0,K67=""),"",K67/J67)</f>
        <v/>
      </c>
      <c r="N67" s="8" t="n"/>
      <c r="O67" s="8" t="n"/>
      <c r="P67" s="8" t="n"/>
      <c r="Q67" s="8" t="n"/>
      <c r="R67" s="14">
        <f>IF(C67="","",IF(A67="",1,0)+IF(J67="",1,0)+IF(AND(J67&lt;&gt;"",K67&lt;&gt;""),IF(K67&gt;J67,1,0),0)+IF(G67="Short",1,0)+IF(I67="No",1,0)+IF(IFERROR(INDEX(Classes!$C$6:$C$45,MATCH(A67,Classes!$B$6:$B$45,0)),"")&lt;&gt;B67,1,0))</f>
        <v/>
      </c>
    </row>
    <row r="68">
      <c r="A68" s="8" t="n"/>
      <c r="B68" s="12">
        <f>IF(C68="","",LEFT(C68,FIND(" |",C68)-1))</f>
        <v/>
      </c>
      <c r="C68" s="8" t="n"/>
      <c r="D68" s="18" t="n"/>
      <c r="E68" s="18" t="n"/>
      <c r="F68" s="14">
        <f>IF(OR(D68="",E68=""),"",D68-E68)</f>
        <v/>
      </c>
      <c r="G68" s="12">
        <f>IF(F68="","",IF(F68&gt;=Setup!$B$8,"OK","Short"))</f>
        <v/>
      </c>
      <c r="H68" s="8" t="n"/>
      <c r="I68" s="8" t="n"/>
      <c r="J68" s="14">
        <f>IF(OR(A68="",C68=""),"",IFERROR(INDEX(Classes!$D$6:$D$45,MATCH(A68,Classes!$B$6:$B$45,0)),""))</f>
        <v/>
      </c>
      <c r="K68" s="8" t="n"/>
      <c r="L68" s="8" t="n"/>
      <c r="M68" s="15">
        <f>IF(OR(J68="",J68=0,K68=""),"",K68/J68)</f>
        <v/>
      </c>
      <c r="N68" s="8" t="n"/>
      <c r="O68" s="8" t="n"/>
      <c r="P68" s="8" t="n"/>
      <c r="Q68" s="8" t="n"/>
      <c r="R68" s="14">
        <f>IF(C68="","",IF(A68="",1,0)+IF(J68="",1,0)+IF(AND(J68&lt;&gt;"",K68&lt;&gt;""),IF(K68&gt;J68,1,0),0)+IF(G68="Short",1,0)+IF(I68="No",1,0)+IF(IFERROR(INDEX(Classes!$C$6:$C$45,MATCH(A68,Classes!$B$6:$B$45,0)),"")&lt;&gt;B68,1,0))</f>
        <v/>
      </c>
    </row>
    <row r="69">
      <c r="A69" s="8" t="n"/>
      <c r="B69" s="12">
        <f>IF(C69="","",LEFT(C69,FIND(" |",C69)-1))</f>
        <v/>
      </c>
      <c r="C69" s="8" t="n"/>
      <c r="D69" s="18" t="n"/>
      <c r="E69" s="18" t="n"/>
      <c r="F69" s="14">
        <f>IF(OR(D69="",E69=""),"",D69-E69)</f>
        <v/>
      </c>
      <c r="G69" s="12">
        <f>IF(F69="","",IF(F69&gt;=Setup!$B$8,"OK","Short"))</f>
        <v/>
      </c>
      <c r="H69" s="8" t="n"/>
      <c r="I69" s="8" t="n"/>
      <c r="J69" s="14">
        <f>IF(OR(A69="",C69=""),"",IFERROR(INDEX(Classes!$D$6:$D$45,MATCH(A69,Classes!$B$6:$B$45,0)),""))</f>
        <v/>
      </c>
      <c r="K69" s="8" t="n"/>
      <c r="L69" s="8" t="n"/>
      <c r="M69" s="15">
        <f>IF(OR(J69="",J69=0,K69=""),"",K69/J69)</f>
        <v/>
      </c>
      <c r="N69" s="8" t="n"/>
      <c r="O69" s="8" t="n"/>
      <c r="P69" s="8" t="n"/>
      <c r="Q69" s="8" t="n"/>
      <c r="R69" s="14">
        <f>IF(C69="","",IF(A69="",1,0)+IF(J69="",1,0)+IF(AND(J69&lt;&gt;"",K69&lt;&gt;""),IF(K69&gt;J69,1,0),0)+IF(G69="Short",1,0)+IF(I69="No",1,0)+IF(IFERROR(INDEX(Classes!$C$6:$C$45,MATCH(A69,Classes!$B$6:$B$45,0)),"")&lt;&gt;B69,1,0))</f>
        <v/>
      </c>
    </row>
    <row r="70">
      <c r="A70" s="8" t="n"/>
      <c r="B70" s="12">
        <f>IF(C70="","",LEFT(C70,FIND(" |",C70)-1))</f>
        <v/>
      </c>
      <c r="C70" s="8" t="n"/>
      <c r="D70" s="18" t="n"/>
      <c r="E70" s="18" t="n"/>
      <c r="F70" s="14">
        <f>IF(OR(D70="",E70=""),"",D70-E70)</f>
        <v/>
      </c>
      <c r="G70" s="12">
        <f>IF(F70="","",IF(F70&gt;=Setup!$B$8,"OK","Short"))</f>
        <v/>
      </c>
      <c r="H70" s="8" t="n"/>
      <c r="I70" s="8" t="n"/>
      <c r="J70" s="14">
        <f>IF(OR(A70="",C70=""),"",IFERROR(INDEX(Classes!$D$6:$D$45,MATCH(A70,Classes!$B$6:$B$45,0)),""))</f>
        <v/>
      </c>
      <c r="K70" s="8" t="n"/>
      <c r="L70" s="8" t="n"/>
      <c r="M70" s="15">
        <f>IF(OR(J70="",J70=0,K70=""),"",K70/J70)</f>
        <v/>
      </c>
      <c r="N70" s="8" t="n"/>
      <c r="O70" s="8" t="n"/>
      <c r="P70" s="8" t="n"/>
      <c r="Q70" s="8" t="n"/>
      <c r="R70" s="14">
        <f>IF(C70="","",IF(A70="",1,0)+IF(J70="",1,0)+IF(AND(J70&lt;&gt;"",K70&lt;&gt;""),IF(K70&gt;J70,1,0),0)+IF(G70="Short",1,0)+IF(I70="No",1,0)+IF(IFERROR(INDEX(Classes!$C$6:$C$45,MATCH(A70,Classes!$B$6:$B$45,0)),"")&lt;&gt;B70,1,0))</f>
        <v/>
      </c>
    </row>
    <row r="71">
      <c r="A71" s="8" t="n"/>
      <c r="B71" s="12">
        <f>IF(C71="","",LEFT(C71,FIND(" |",C71)-1))</f>
        <v/>
      </c>
      <c r="C71" s="8" t="n"/>
      <c r="D71" s="18" t="n"/>
      <c r="E71" s="18" t="n"/>
      <c r="F71" s="14">
        <f>IF(OR(D71="",E71=""),"",D71-E71)</f>
        <v/>
      </c>
      <c r="G71" s="12">
        <f>IF(F71="","",IF(F71&gt;=Setup!$B$8,"OK","Short"))</f>
        <v/>
      </c>
      <c r="H71" s="8" t="n"/>
      <c r="I71" s="8" t="n"/>
      <c r="J71" s="14">
        <f>IF(OR(A71="",C71=""),"",IFERROR(INDEX(Classes!$D$6:$D$45,MATCH(A71,Classes!$B$6:$B$45,0)),""))</f>
        <v/>
      </c>
      <c r="K71" s="8" t="n"/>
      <c r="L71" s="8" t="n"/>
      <c r="M71" s="15">
        <f>IF(OR(J71="",J71=0,K71=""),"",K71/J71)</f>
        <v/>
      </c>
      <c r="N71" s="8" t="n"/>
      <c r="O71" s="8" t="n"/>
      <c r="P71" s="8" t="n"/>
      <c r="Q71" s="8" t="n"/>
      <c r="R71" s="14">
        <f>IF(C71="","",IF(A71="",1,0)+IF(J71="",1,0)+IF(AND(J71&lt;&gt;"",K71&lt;&gt;""),IF(K71&gt;J71,1,0),0)+IF(G71="Short",1,0)+IF(I71="No",1,0)+IF(IFERROR(INDEX(Classes!$C$6:$C$45,MATCH(A71,Classes!$B$6:$B$45,0)),"")&lt;&gt;B71,1,0))</f>
        <v/>
      </c>
    </row>
    <row r="72">
      <c r="A72" s="8" t="n"/>
      <c r="B72" s="12">
        <f>IF(C72="","",LEFT(C72,FIND(" |",C72)-1))</f>
        <v/>
      </c>
      <c r="C72" s="8" t="n"/>
      <c r="D72" s="18" t="n"/>
      <c r="E72" s="18" t="n"/>
      <c r="F72" s="14">
        <f>IF(OR(D72="",E72=""),"",D72-E72)</f>
        <v/>
      </c>
      <c r="G72" s="12">
        <f>IF(F72="","",IF(F72&gt;=Setup!$B$8,"OK","Short"))</f>
        <v/>
      </c>
      <c r="H72" s="8" t="n"/>
      <c r="I72" s="8" t="n"/>
      <c r="J72" s="14">
        <f>IF(OR(A72="",C72=""),"",IFERROR(INDEX(Classes!$D$6:$D$45,MATCH(A72,Classes!$B$6:$B$45,0)),""))</f>
        <v/>
      </c>
      <c r="K72" s="8" t="n"/>
      <c r="L72" s="8" t="n"/>
      <c r="M72" s="15">
        <f>IF(OR(J72="",J72=0,K72=""),"",K72/J72)</f>
        <v/>
      </c>
      <c r="N72" s="8" t="n"/>
      <c r="O72" s="8" t="n"/>
      <c r="P72" s="8" t="n"/>
      <c r="Q72" s="8" t="n"/>
      <c r="R72" s="14">
        <f>IF(C72="","",IF(A72="",1,0)+IF(J72="",1,0)+IF(AND(J72&lt;&gt;"",K72&lt;&gt;""),IF(K72&gt;J72,1,0),0)+IF(G72="Short",1,0)+IF(I72="No",1,0)+IF(IFERROR(INDEX(Classes!$C$6:$C$45,MATCH(A72,Classes!$B$6:$B$45,0)),"")&lt;&gt;B72,1,0))</f>
        <v/>
      </c>
    </row>
    <row r="73">
      <c r="A73" s="8" t="n"/>
      <c r="B73" s="12">
        <f>IF(C73="","",LEFT(C73,FIND(" |",C73)-1))</f>
        <v/>
      </c>
      <c r="C73" s="8" t="n"/>
      <c r="D73" s="18" t="n"/>
      <c r="E73" s="18" t="n"/>
      <c r="F73" s="14">
        <f>IF(OR(D73="",E73=""),"",D73-E73)</f>
        <v/>
      </c>
      <c r="G73" s="12">
        <f>IF(F73="","",IF(F73&gt;=Setup!$B$8,"OK","Short"))</f>
        <v/>
      </c>
      <c r="H73" s="8" t="n"/>
      <c r="I73" s="8" t="n"/>
      <c r="J73" s="14">
        <f>IF(OR(A73="",C73=""),"",IFERROR(INDEX(Classes!$D$6:$D$45,MATCH(A73,Classes!$B$6:$B$45,0)),""))</f>
        <v/>
      </c>
      <c r="K73" s="8" t="n"/>
      <c r="L73" s="8" t="n"/>
      <c r="M73" s="15">
        <f>IF(OR(J73="",J73=0,K73=""),"",K73/J73)</f>
        <v/>
      </c>
      <c r="N73" s="8" t="n"/>
      <c r="O73" s="8" t="n"/>
      <c r="P73" s="8" t="n"/>
      <c r="Q73" s="8" t="n"/>
      <c r="R73" s="14">
        <f>IF(C73="","",IF(A73="",1,0)+IF(J73="",1,0)+IF(AND(J73&lt;&gt;"",K73&lt;&gt;""),IF(K73&gt;J73,1,0),0)+IF(G73="Short",1,0)+IF(I73="No",1,0)+IF(IFERROR(INDEX(Classes!$C$6:$C$45,MATCH(A73,Classes!$B$6:$B$45,0)),"")&lt;&gt;B73,1,0))</f>
        <v/>
      </c>
    </row>
    <row r="74">
      <c r="A74" s="8" t="n"/>
      <c r="B74" s="12">
        <f>IF(C74="","",LEFT(C74,FIND(" |",C74)-1))</f>
        <v/>
      </c>
      <c r="C74" s="8" t="n"/>
      <c r="D74" s="18" t="n"/>
      <c r="E74" s="18" t="n"/>
      <c r="F74" s="14">
        <f>IF(OR(D74="",E74=""),"",D74-E74)</f>
        <v/>
      </c>
      <c r="G74" s="12">
        <f>IF(F74="","",IF(F74&gt;=Setup!$B$8,"OK","Short"))</f>
        <v/>
      </c>
      <c r="H74" s="8" t="n"/>
      <c r="I74" s="8" t="n"/>
      <c r="J74" s="14">
        <f>IF(OR(A74="",C74=""),"",IFERROR(INDEX(Classes!$D$6:$D$45,MATCH(A74,Classes!$B$6:$B$45,0)),""))</f>
        <v/>
      </c>
      <c r="K74" s="8" t="n"/>
      <c r="L74" s="8" t="n"/>
      <c r="M74" s="15">
        <f>IF(OR(J74="",J74=0,K74=""),"",K74/J74)</f>
        <v/>
      </c>
      <c r="N74" s="8" t="n"/>
      <c r="O74" s="8" t="n"/>
      <c r="P74" s="8" t="n"/>
      <c r="Q74" s="8" t="n"/>
      <c r="R74" s="14">
        <f>IF(C74="","",IF(A74="",1,0)+IF(J74="",1,0)+IF(AND(J74&lt;&gt;"",K74&lt;&gt;""),IF(K74&gt;J74,1,0),0)+IF(G74="Short",1,0)+IF(I74="No",1,0)+IF(IFERROR(INDEX(Classes!$C$6:$C$45,MATCH(A74,Classes!$B$6:$B$45,0)),"")&lt;&gt;B74,1,0))</f>
        <v/>
      </c>
    </row>
    <row r="75">
      <c r="A75" s="8" t="n"/>
      <c r="B75" s="12">
        <f>IF(C75="","",LEFT(C75,FIND(" |",C75)-1))</f>
        <v/>
      </c>
      <c r="C75" s="8" t="n"/>
      <c r="D75" s="18" t="n"/>
      <c r="E75" s="18" t="n"/>
      <c r="F75" s="14">
        <f>IF(OR(D75="",E75=""),"",D75-E75)</f>
        <v/>
      </c>
      <c r="G75" s="12">
        <f>IF(F75="","",IF(F75&gt;=Setup!$B$8,"OK","Short"))</f>
        <v/>
      </c>
      <c r="H75" s="8" t="n"/>
      <c r="I75" s="8" t="n"/>
      <c r="J75" s="14">
        <f>IF(OR(A75="",C75=""),"",IFERROR(INDEX(Classes!$D$6:$D$45,MATCH(A75,Classes!$B$6:$B$45,0)),""))</f>
        <v/>
      </c>
      <c r="K75" s="8" t="n"/>
      <c r="L75" s="8" t="n"/>
      <c r="M75" s="15">
        <f>IF(OR(J75="",J75=0,K75=""),"",K75/J75)</f>
        <v/>
      </c>
      <c r="N75" s="8" t="n"/>
      <c r="O75" s="8" t="n"/>
      <c r="P75" s="8" t="n"/>
      <c r="Q75" s="8" t="n"/>
      <c r="R75" s="14">
        <f>IF(C75="","",IF(A75="",1,0)+IF(J75="",1,0)+IF(AND(J75&lt;&gt;"",K75&lt;&gt;""),IF(K75&gt;J75,1,0),0)+IF(G75="Short",1,0)+IF(I75="No",1,0)+IF(IFERROR(INDEX(Classes!$C$6:$C$45,MATCH(A75,Classes!$B$6:$B$45,0)),"")&lt;&gt;B75,1,0))</f>
        <v/>
      </c>
    </row>
    <row r="76">
      <c r="A76" s="8" t="n"/>
      <c r="B76" s="12">
        <f>IF(C76="","",LEFT(C76,FIND(" |",C76)-1))</f>
        <v/>
      </c>
      <c r="C76" s="8" t="n"/>
      <c r="D76" s="18" t="n"/>
      <c r="E76" s="18" t="n"/>
      <c r="F76" s="14">
        <f>IF(OR(D76="",E76=""),"",D76-E76)</f>
        <v/>
      </c>
      <c r="G76" s="12">
        <f>IF(F76="","",IF(F76&gt;=Setup!$B$8,"OK","Short"))</f>
        <v/>
      </c>
      <c r="H76" s="8" t="n"/>
      <c r="I76" s="8" t="n"/>
      <c r="J76" s="14">
        <f>IF(OR(A76="",C76=""),"",IFERROR(INDEX(Classes!$D$6:$D$45,MATCH(A76,Classes!$B$6:$B$45,0)),""))</f>
        <v/>
      </c>
      <c r="K76" s="8" t="n"/>
      <c r="L76" s="8" t="n"/>
      <c r="M76" s="15">
        <f>IF(OR(J76="",J76=0,K76=""),"",K76/J76)</f>
        <v/>
      </c>
      <c r="N76" s="8" t="n"/>
      <c r="O76" s="8" t="n"/>
      <c r="P76" s="8" t="n"/>
      <c r="Q76" s="8" t="n"/>
      <c r="R76" s="14">
        <f>IF(C76="","",IF(A76="",1,0)+IF(J76="",1,0)+IF(AND(J76&lt;&gt;"",K76&lt;&gt;""),IF(K76&gt;J76,1,0),0)+IF(G76="Short",1,0)+IF(I76="No",1,0)+IF(IFERROR(INDEX(Classes!$C$6:$C$45,MATCH(A76,Classes!$B$6:$B$45,0)),"")&lt;&gt;B76,1,0))</f>
        <v/>
      </c>
    </row>
    <row r="77">
      <c r="A77" s="8" t="n"/>
      <c r="B77" s="12">
        <f>IF(C77="","",LEFT(C77,FIND(" |",C77)-1))</f>
        <v/>
      </c>
      <c r="C77" s="8" t="n"/>
      <c r="D77" s="18" t="n"/>
      <c r="E77" s="18" t="n"/>
      <c r="F77" s="14">
        <f>IF(OR(D77="",E77=""),"",D77-E77)</f>
        <v/>
      </c>
      <c r="G77" s="12">
        <f>IF(F77="","",IF(F77&gt;=Setup!$B$8,"OK","Short"))</f>
        <v/>
      </c>
      <c r="H77" s="8" t="n"/>
      <c r="I77" s="8" t="n"/>
      <c r="J77" s="14">
        <f>IF(OR(A77="",C77=""),"",IFERROR(INDEX(Classes!$D$6:$D$45,MATCH(A77,Classes!$B$6:$B$45,0)),""))</f>
        <v/>
      </c>
      <c r="K77" s="8" t="n"/>
      <c r="L77" s="8" t="n"/>
      <c r="M77" s="15">
        <f>IF(OR(J77="",J77=0,K77=""),"",K77/J77)</f>
        <v/>
      </c>
      <c r="N77" s="8" t="n"/>
      <c r="O77" s="8" t="n"/>
      <c r="P77" s="8" t="n"/>
      <c r="Q77" s="8" t="n"/>
      <c r="R77" s="14">
        <f>IF(C77="","",IF(A77="",1,0)+IF(J77="",1,0)+IF(AND(J77&lt;&gt;"",K77&lt;&gt;""),IF(K77&gt;J77,1,0),0)+IF(G77="Short",1,0)+IF(I77="No",1,0)+IF(IFERROR(INDEX(Classes!$C$6:$C$45,MATCH(A77,Classes!$B$6:$B$45,0)),"")&lt;&gt;B77,1,0))</f>
        <v/>
      </c>
    </row>
    <row r="78">
      <c r="A78" s="8" t="n"/>
      <c r="B78" s="12">
        <f>IF(C78="","",LEFT(C78,FIND(" |",C78)-1))</f>
        <v/>
      </c>
      <c r="C78" s="8" t="n"/>
      <c r="D78" s="18" t="n"/>
      <c r="E78" s="18" t="n"/>
      <c r="F78" s="14">
        <f>IF(OR(D78="",E78=""),"",D78-E78)</f>
        <v/>
      </c>
      <c r="G78" s="12">
        <f>IF(F78="","",IF(F78&gt;=Setup!$B$8,"OK","Short"))</f>
        <v/>
      </c>
      <c r="H78" s="8" t="n"/>
      <c r="I78" s="8" t="n"/>
      <c r="J78" s="14">
        <f>IF(OR(A78="",C78=""),"",IFERROR(INDEX(Classes!$D$6:$D$45,MATCH(A78,Classes!$B$6:$B$45,0)),""))</f>
        <v/>
      </c>
      <c r="K78" s="8" t="n"/>
      <c r="L78" s="8" t="n"/>
      <c r="M78" s="15">
        <f>IF(OR(J78="",J78=0,K78=""),"",K78/J78)</f>
        <v/>
      </c>
      <c r="N78" s="8" t="n"/>
      <c r="O78" s="8" t="n"/>
      <c r="P78" s="8" t="n"/>
      <c r="Q78" s="8" t="n"/>
      <c r="R78" s="14">
        <f>IF(C78="","",IF(A78="",1,0)+IF(J78="",1,0)+IF(AND(J78&lt;&gt;"",K78&lt;&gt;""),IF(K78&gt;J78,1,0),0)+IF(G78="Short",1,0)+IF(I78="No",1,0)+IF(IFERROR(INDEX(Classes!$C$6:$C$45,MATCH(A78,Classes!$B$6:$B$45,0)),"")&lt;&gt;B78,1,0))</f>
        <v/>
      </c>
    </row>
    <row r="79">
      <c r="A79" s="8" t="n"/>
      <c r="B79" s="12">
        <f>IF(C79="","",LEFT(C79,FIND(" |",C79)-1))</f>
        <v/>
      </c>
      <c r="C79" s="8" t="n"/>
      <c r="D79" s="18" t="n"/>
      <c r="E79" s="18" t="n"/>
      <c r="F79" s="14">
        <f>IF(OR(D79="",E79=""),"",D79-E79)</f>
        <v/>
      </c>
      <c r="G79" s="12">
        <f>IF(F79="","",IF(F79&gt;=Setup!$B$8,"OK","Short"))</f>
        <v/>
      </c>
      <c r="H79" s="8" t="n"/>
      <c r="I79" s="8" t="n"/>
      <c r="J79" s="14">
        <f>IF(OR(A79="",C79=""),"",IFERROR(INDEX(Classes!$D$6:$D$45,MATCH(A79,Classes!$B$6:$B$45,0)),""))</f>
        <v/>
      </c>
      <c r="K79" s="8" t="n"/>
      <c r="L79" s="8" t="n"/>
      <c r="M79" s="15">
        <f>IF(OR(J79="",J79=0,K79=""),"",K79/J79)</f>
        <v/>
      </c>
      <c r="N79" s="8" t="n"/>
      <c r="O79" s="8" t="n"/>
      <c r="P79" s="8" t="n"/>
      <c r="Q79" s="8" t="n"/>
      <c r="R79" s="14">
        <f>IF(C79="","",IF(A79="",1,0)+IF(J79="",1,0)+IF(AND(J79&lt;&gt;"",K79&lt;&gt;""),IF(K79&gt;J79,1,0),0)+IF(G79="Short",1,0)+IF(I79="No",1,0)+IF(IFERROR(INDEX(Classes!$C$6:$C$45,MATCH(A79,Classes!$B$6:$B$45,0)),"")&lt;&gt;B79,1,0))</f>
        <v/>
      </c>
    </row>
    <row r="80">
      <c r="A80" s="8" t="n"/>
      <c r="B80" s="12">
        <f>IF(C80="","",LEFT(C80,FIND(" |",C80)-1))</f>
        <v/>
      </c>
      <c r="C80" s="8" t="n"/>
      <c r="D80" s="18" t="n"/>
      <c r="E80" s="18" t="n"/>
      <c r="F80" s="14">
        <f>IF(OR(D80="",E80=""),"",D80-E80)</f>
        <v/>
      </c>
      <c r="G80" s="12">
        <f>IF(F80="","",IF(F80&gt;=Setup!$B$8,"OK","Short"))</f>
        <v/>
      </c>
      <c r="H80" s="8" t="n"/>
      <c r="I80" s="8" t="n"/>
      <c r="J80" s="14">
        <f>IF(OR(A80="",C80=""),"",IFERROR(INDEX(Classes!$D$6:$D$45,MATCH(A80,Classes!$B$6:$B$45,0)),""))</f>
        <v/>
      </c>
      <c r="K80" s="8" t="n"/>
      <c r="L80" s="8" t="n"/>
      <c r="M80" s="15">
        <f>IF(OR(J80="",J80=0,K80=""),"",K80/J80)</f>
        <v/>
      </c>
      <c r="N80" s="8" t="n"/>
      <c r="O80" s="8" t="n"/>
      <c r="P80" s="8" t="n"/>
      <c r="Q80" s="8" t="n"/>
      <c r="R80" s="14">
        <f>IF(C80="","",IF(A80="",1,0)+IF(J80="",1,0)+IF(AND(J80&lt;&gt;"",K80&lt;&gt;""),IF(K80&gt;J80,1,0),0)+IF(G80="Short",1,0)+IF(I80="No",1,0)+IF(IFERROR(INDEX(Classes!$C$6:$C$45,MATCH(A80,Classes!$B$6:$B$45,0)),"")&lt;&gt;B80,1,0))</f>
        <v/>
      </c>
    </row>
    <row r="81">
      <c r="A81" s="8" t="n"/>
      <c r="B81" s="12">
        <f>IF(C81="","",LEFT(C81,FIND(" |",C81)-1))</f>
        <v/>
      </c>
      <c r="C81" s="8" t="n"/>
      <c r="D81" s="18" t="n"/>
      <c r="E81" s="18" t="n"/>
      <c r="F81" s="14">
        <f>IF(OR(D81="",E81=""),"",D81-E81)</f>
        <v/>
      </c>
      <c r="G81" s="12">
        <f>IF(F81="","",IF(F81&gt;=Setup!$B$8,"OK","Short"))</f>
        <v/>
      </c>
      <c r="H81" s="8" t="n"/>
      <c r="I81" s="8" t="n"/>
      <c r="J81" s="14">
        <f>IF(OR(A81="",C81=""),"",IFERROR(INDEX(Classes!$D$6:$D$45,MATCH(A81,Classes!$B$6:$B$45,0)),""))</f>
        <v/>
      </c>
      <c r="K81" s="8" t="n"/>
      <c r="L81" s="8" t="n"/>
      <c r="M81" s="15">
        <f>IF(OR(J81="",J81=0,K81=""),"",K81/J81)</f>
        <v/>
      </c>
      <c r="N81" s="8" t="n"/>
      <c r="O81" s="8" t="n"/>
      <c r="P81" s="8" t="n"/>
      <c r="Q81" s="8" t="n"/>
      <c r="R81" s="14">
        <f>IF(C81="","",IF(A81="",1,0)+IF(J81="",1,0)+IF(AND(J81&lt;&gt;"",K81&lt;&gt;""),IF(K81&gt;J81,1,0),0)+IF(G81="Short",1,0)+IF(I81="No",1,0)+IF(IFERROR(INDEX(Classes!$C$6:$C$45,MATCH(A81,Classes!$B$6:$B$45,0)),"")&lt;&gt;B81,1,0))</f>
        <v/>
      </c>
    </row>
    <row r="82">
      <c r="A82" s="8" t="n"/>
      <c r="B82" s="12">
        <f>IF(C82="","",LEFT(C82,FIND(" |",C82)-1))</f>
        <v/>
      </c>
      <c r="C82" s="8" t="n"/>
      <c r="D82" s="18" t="n"/>
      <c r="E82" s="18" t="n"/>
      <c r="F82" s="14">
        <f>IF(OR(D82="",E82=""),"",D82-E82)</f>
        <v/>
      </c>
      <c r="G82" s="12">
        <f>IF(F82="","",IF(F82&gt;=Setup!$B$8,"OK","Short"))</f>
        <v/>
      </c>
      <c r="H82" s="8" t="n"/>
      <c r="I82" s="8" t="n"/>
      <c r="J82" s="14">
        <f>IF(OR(A82="",C82=""),"",IFERROR(INDEX(Classes!$D$6:$D$45,MATCH(A82,Classes!$B$6:$B$45,0)),""))</f>
        <v/>
      </c>
      <c r="K82" s="8" t="n"/>
      <c r="L82" s="8" t="n"/>
      <c r="M82" s="15">
        <f>IF(OR(J82="",J82=0,K82=""),"",K82/J82)</f>
        <v/>
      </c>
      <c r="N82" s="8" t="n"/>
      <c r="O82" s="8" t="n"/>
      <c r="P82" s="8" t="n"/>
      <c r="Q82" s="8" t="n"/>
      <c r="R82" s="14">
        <f>IF(C82="","",IF(A82="",1,0)+IF(J82="",1,0)+IF(AND(J82&lt;&gt;"",K82&lt;&gt;""),IF(K82&gt;J82,1,0),0)+IF(G82="Short",1,0)+IF(I82="No",1,0)+IF(IFERROR(INDEX(Classes!$C$6:$C$45,MATCH(A82,Classes!$B$6:$B$45,0)),"")&lt;&gt;B82,1,0))</f>
        <v/>
      </c>
    </row>
    <row r="83">
      <c r="A83" s="8" t="n"/>
      <c r="B83" s="12">
        <f>IF(C83="","",LEFT(C83,FIND(" |",C83)-1))</f>
        <v/>
      </c>
      <c r="C83" s="8" t="n"/>
      <c r="D83" s="18" t="n"/>
      <c r="E83" s="18" t="n"/>
      <c r="F83" s="14">
        <f>IF(OR(D83="",E83=""),"",D83-E83)</f>
        <v/>
      </c>
      <c r="G83" s="12">
        <f>IF(F83="","",IF(F83&gt;=Setup!$B$8,"OK","Short"))</f>
        <v/>
      </c>
      <c r="H83" s="8" t="n"/>
      <c r="I83" s="8" t="n"/>
      <c r="J83" s="14">
        <f>IF(OR(A83="",C83=""),"",IFERROR(INDEX(Classes!$D$6:$D$45,MATCH(A83,Classes!$B$6:$B$45,0)),""))</f>
        <v/>
      </c>
      <c r="K83" s="8" t="n"/>
      <c r="L83" s="8" t="n"/>
      <c r="M83" s="15">
        <f>IF(OR(J83="",J83=0,K83=""),"",K83/J83)</f>
        <v/>
      </c>
      <c r="N83" s="8" t="n"/>
      <c r="O83" s="8" t="n"/>
      <c r="P83" s="8" t="n"/>
      <c r="Q83" s="8" t="n"/>
      <c r="R83" s="14">
        <f>IF(C83="","",IF(A83="",1,0)+IF(J83="",1,0)+IF(AND(J83&lt;&gt;"",K83&lt;&gt;""),IF(K83&gt;J83,1,0),0)+IF(G83="Short",1,0)+IF(I83="No",1,0)+IF(IFERROR(INDEX(Classes!$C$6:$C$45,MATCH(A83,Classes!$B$6:$B$45,0)),"")&lt;&gt;B83,1,0))</f>
        <v/>
      </c>
    </row>
    <row r="84">
      <c r="A84" s="8" t="n"/>
      <c r="B84" s="12">
        <f>IF(C84="","",LEFT(C84,FIND(" |",C84)-1))</f>
        <v/>
      </c>
      <c r="C84" s="8" t="n"/>
      <c r="D84" s="18" t="n"/>
      <c r="E84" s="18" t="n"/>
      <c r="F84" s="14">
        <f>IF(OR(D84="",E84=""),"",D84-E84)</f>
        <v/>
      </c>
      <c r="G84" s="12">
        <f>IF(F84="","",IF(F84&gt;=Setup!$B$8,"OK","Short"))</f>
        <v/>
      </c>
      <c r="H84" s="8" t="n"/>
      <c r="I84" s="8" t="n"/>
      <c r="J84" s="14">
        <f>IF(OR(A84="",C84=""),"",IFERROR(INDEX(Classes!$D$6:$D$45,MATCH(A84,Classes!$B$6:$B$45,0)),""))</f>
        <v/>
      </c>
      <c r="K84" s="8" t="n"/>
      <c r="L84" s="8" t="n"/>
      <c r="M84" s="15">
        <f>IF(OR(J84="",J84=0,K84=""),"",K84/J84)</f>
        <v/>
      </c>
      <c r="N84" s="8" t="n"/>
      <c r="O84" s="8" t="n"/>
      <c r="P84" s="8" t="n"/>
      <c r="Q84" s="8" t="n"/>
      <c r="R84" s="14">
        <f>IF(C84="","",IF(A84="",1,0)+IF(J84="",1,0)+IF(AND(J84&lt;&gt;"",K84&lt;&gt;""),IF(K84&gt;J84,1,0),0)+IF(G84="Short",1,0)+IF(I84="No",1,0)+IF(IFERROR(INDEX(Classes!$C$6:$C$45,MATCH(A84,Classes!$B$6:$B$45,0)),"")&lt;&gt;B84,1,0))</f>
        <v/>
      </c>
    </row>
    <row r="85">
      <c r="A85" s="8" t="n"/>
      <c r="B85" s="12">
        <f>IF(C85="","",LEFT(C85,FIND(" |",C85)-1))</f>
        <v/>
      </c>
      <c r="C85" s="8" t="n"/>
      <c r="D85" s="18" t="n"/>
      <c r="E85" s="18" t="n"/>
      <c r="F85" s="14">
        <f>IF(OR(D85="",E85=""),"",D85-E85)</f>
        <v/>
      </c>
      <c r="G85" s="12">
        <f>IF(F85="","",IF(F85&gt;=Setup!$B$8,"OK","Short"))</f>
        <v/>
      </c>
      <c r="H85" s="8" t="n"/>
      <c r="I85" s="8" t="n"/>
      <c r="J85" s="14">
        <f>IF(OR(A85="",C85=""),"",IFERROR(INDEX(Classes!$D$6:$D$45,MATCH(A85,Classes!$B$6:$B$45,0)),""))</f>
        <v/>
      </c>
      <c r="K85" s="8" t="n"/>
      <c r="L85" s="8" t="n"/>
      <c r="M85" s="15">
        <f>IF(OR(J85="",J85=0,K85=""),"",K85/J85)</f>
        <v/>
      </c>
      <c r="N85" s="8" t="n"/>
      <c r="O85" s="8" t="n"/>
      <c r="P85" s="8" t="n"/>
      <c r="Q85" s="8" t="n"/>
      <c r="R85" s="14">
        <f>IF(C85="","",IF(A85="",1,0)+IF(J85="",1,0)+IF(AND(J85&lt;&gt;"",K85&lt;&gt;""),IF(K85&gt;J85,1,0),0)+IF(G85="Short",1,0)+IF(I85="No",1,0)+IF(IFERROR(INDEX(Classes!$C$6:$C$45,MATCH(A85,Classes!$B$6:$B$45,0)),"")&lt;&gt;B85,1,0))</f>
        <v/>
      </c>
    </row>
    <row r="86">
      <c r="A86" s="8" t="n"/>
      <c r="B86" s="12">
        <f>IF(C86="","",LEFT(C86,FIND(" |",C86)-1))</f>
        <v/>
      </c>
      <c r="C86" s="8" t="n"/>
      <c r="D86" s="18" t="n"/>
      <c r="E86" s="18" t="n"/>
      <c r="F86" s="14">
        <f>IF(OR(D86="",E86=""),"",D86-E86)</f>
        <v/>
      </c>
      <c r="G86" s="12">
        <f>IF(F86="","",IF(F86&gt;=Setup!$B$8,"OK","Short"))</f>
        <v/>
      </c>
      <c r="H86" s="8" t="n"/>
      <c r="I86" s="8" t="n"/>
      <c r="J86" s="14">
        <f>IF(OR(A86="",C86=""),"",IFERROR(INDEX(Classes!$D$6:$D$45,MATCH(A86,Classes!$B$6:$B$45,0)),""))</f>
        <v/>
      </c>
      <c r="K86" s="8" t="n"/>
      <c r="L86" s="8" t="n"/>
      <c r="M86" s="15">
        <f>IF(OR(J86="",J86=0,K86=""),"",K86/J86)</f>
        <v/>
      </c>
      <c r="N86" s="8" t="n"/>
      <c r="O86" s="8" t="n"/>
      <c r="P86" s="8" t="n"/>
      <c r="Q86" s="8" t="n"/>
      <c r="R86" s="14">
        <f>IF(C86="","",IF(A86="",1,0)+IF(J86="",1,0)+IF(AND(J86&lt;&gt;"",K86&lt;&gt;""),IF(K86&gt;J86,1,0),0)+IF(G86="Short",1,0)+IF(I86="No",1,0)+IF(IFERROR(INDEX(Classes!$C$6:$C$45,MATCH(A86,Classes!$B$6:$B$45,0)),"")&lt;&gt;B86,1,0))</f>
        <v/>
      </c>
    </row>
    <row r="87">
      <c r="A87" s="8" t="n"/>
      <c r="B87" s="12">
        <f>IF(C87="","",LEFT(C87,FIND(" |",C87)-1))</f>
        <v/>
      </c>
      <c r="C87" s="8" t="n"/>
      <c r="D87" s="18" t="n"/>
      <c r="E87" s="18" t="n"/>
      <c r="F87" s="14">
        <f>IF(OR(D87="",E87=""),"",D87-E87)</f>
        <v/>
      </c>
      <c r="G87" s="12">
        <f>IF(F87="","",IF(F87&gt;=Setup!$B$8,"OK","Short"))</f>
        <v/>
      </c>
      <c r="H87" s="8" t="n"/>
      <c r="I87" s="8" t="n"/>
      <c r="J87" s="14">
        <f>IF(OR(A87="",C87=""),"",IFERROR(INDEX(Classes!$D$6:$D$45,MATCH(A87,Classes!$B$6:$B$45,0)),""))</f>
        <v/>
      </c>
      <c r="K87" s="8" t="n"/>
      <c r="L87" s="8" t="n"/>
      <c r="M87" s="15">
        <f>IF(OR(J87="",J87=0,K87=""),"",K87/J87)</f>
        <v/>
      </c>
      <c r="N87" s="8" t="n"/>
      <c r="O87" s="8" t="n"/>
      <c r="P87" s="8" t="n"/>
      <c r="Q87" s="8" t="n"/>
      <c r="R87" s="14">
        <f>IF(C87="","",IF(A87="",1,0)+IF(J87="",1,0)+IF(AND(J87&lt;&gt;"",K87&lt;&gt;""),IF(K87&gt;J87,1,0),0)+IF(G87="Short",1,0)+IF(I87="No",1,0)+IF(IFERROR(INDEX(Classes!$C$6:$C$45,MATCH(A87,Classes!$B$6:$B$45,0)),"")&lt;&gt;B87,1,0))</f>
        <v/>
      </c>
    </row>
    <row r="88">
      <c r="A88" s="8" t="n"/>
      <c r="B88" s="12">
        <f>IF(C88="","",LEFT(C88,FIND(" |",C88)-1))</f>
        <v/>
      </c>
      <c r="C88" s="8" t="n"/>
      <c r="D88" s="18" t="n"/>
      <c r="E88" s="18" t="n"/>
      <c r="F88" s="14">
        <f>IF(OR(D88="",E88=""),"",D88-E88)</f>
        <v/>
      </c>
      <c r="G88" s="12">
        <f>IF(F88="","",IF(F88&gt;=Setup!$B$8,"OK","Short"))</f>
        <v/>
      </c>
      <c r="H88" s="8" t="n"/>
      <c r="I88" s="8" t="n"/>
      <c r="J88" s="14">
        <f>IF(OR(A88="",C88=""),"",IFERROR(INDEX(Classes!$D$6:$D$45,MATCH(A88,Classes!$B$6:$B$45,0)),""))</f>
        <v/>
      </c>
      <c r="K88" s="8" t="n"/>
      <c r="L88" s="8" t="n"/>
      <c r="M88" s="15">
        <f>IF(OR(J88="",J88=0,K88=""),"",K88/J88)</f>
        <v/>
      </c>
      <c r="N88" s="8" t="n"/>
      <c r="O88" s="8" t="n"/>
      <c r="P88" s="8" t="n"/>
      <c r="Q88" s="8" t="n"/>
      <c r="R88" s="14">
        <f>IF(C88="","",IF(A88="",1,0)+IF(J88="",1,0)+IF(AND(J88&lt;&gt;"",K88&lt;&gt;""),IF(K88&gt;J88,1,0),0)+IF(G88="Short",1,0)+IF(I88="No",1,0)+IF(IFERROR(INDEX(Classes!$C$6:$C$45,MATCH(A88,Classes!$B$6:$B$45,0)),"")&lt;&gt;B88,1,0))</f>
        <v/>
      </c>
    </row>
    <row r="89">
      <c r="A89" s="8" t="n"/>
      <c r="B89" s="12">
        <f>IF(C89="","",LEFT(C89,FIND(" |",C89)-1))</f>
        <v/>
      </c>
      <c r="C89" s="8" t="n"/>
      <c r="D89" s="18" t="n"/>
      <c r="E89" s="18" t="n"/>
      <c r="F89" s="14">
        <f>IF(OR(D89="",E89=""),"",D89-E89)</f>
        <v/>
      </c>
      <c r="G89" s="12">
        <f>IF(F89="","",IF(F89&gt;=Setup!$B$8,"OK","Short"))</f>
        <v/>
      </c>
      <c r="H89" s="8" t="n"/>
      <c r="I89" s="8" t="n"/>
      <c r="J89" s="14">
        <f>IF(OR(A89="",C89=""),"",IFERROR(INDEX(Classes!$D$6:$D$45,MATCH(A89,Classes!$B$6:$B$45,0)),""))</f>
        <v/>
      </c>
      <c r="K89" s="8" t="n"/>
      <c r="L89" s="8" t="n"/>
      <c r="M89" s="15">
        <f>IF(OR(J89="",J89=0,K89=""),"",K89/J89)</f>
        <v/>
      </c>
      <c r="N89" s="8" t="n"/>
      <c r="O89" s="8" t="n"/>
      <c r="P89" s="8" t="n"/>
      <c r="Q89" s="8" t="n"/>
      <c r="R89" s="14">
        <f>IF(C89="","",IF(A89="",1,0)+IF(J89="",1,0)+IF(AND(J89&lt;&gt;"",K89&lt;&gt;""),IF(K89&gt;J89,1,0),0)+IF(G89="Short",1,0)+IF(I89="No",1,0)+IF(IFERROR(INDEX(Classes!$C$6:$C$45,MATCH(A89,Classes!$B$6:$B$45,0)),"")&lt;&gt;B89,1,0))</f>
        <v/>
      </c>
    </row>
    <row r="90">
      <c r="A90" s="8" t="n"/>
      <c r="B90" s="12">
        <f>IF(C90="","",LEFT(C90,FIND(" |",C90)-1))</f>
        <v/>
      </c>
      <c r="C90" s="8" t="n"/>
      <c r="D90" s="18" t="n"/>
      <c r="E90" s="18" t="n"/>
      <c r="F90" s="14">
        <f>IF(OR(D90="",E90=""),"",D90-E90)</f>
        <v/>
      </c>
      <c r="G90" s="12">
        <f>IF(F90="","",IF(F90&gt;=Setup!$B$8,"OK","Short"))</f>
        <v/>
      </c>
      <c r="H90" s="8" t="n"/>
      <c r="I90" s="8" t="n"/>
      <c r="J90" s="14">
        <f>IF(OR(A90="",C90=""),"",IFERROR(INDEX(Classes!$D$6:$D$45,MATCH(A90,Classes!$B$6:$B$45,0)),""))</f>
        <v/>
      </c>
      <c r="K90" s="8" t="n"/>
      <c r="L90" s="8" t="n"/>
      <c r="M90" s="15">
        <f>IF(OR(J90="",J90=0,K90=""),"",K90/J90)</f>
        <v/>
      </c>
      <c r="N90" s="8" t="n"/>
      <c r="O90" s="8" t="n"/>
      <c r="P90" s="8" t="n"/>
      <c r="Q90" s="8" t="n"/>
      <c r="R90" s="14">
        <f>IF(C90="","",IF(A90="",1,0)+IF(J90="",1,0)+IF(AND(J90&lt;&gt;"",K90&lt;&gt;""),IF(K90&gt;J90,1,0),0)+IF(G90="Short",1,0)+IF(I90="No",1,0)+IF(IFERROR(INDEX(Classes!$C$6:$C$45,MATCH(A90,Classes!$B$6:$B$45,0)),"")&lt;&gt;B90,1,0))</f>
        <v/>
      </c>
    </row>
    <row r="91">
      <c r="A91" s="8" t="n"/>
      <c r="B91" s="12">
        <f>IF(C91="","",LEFT(C91,FIND(" |",C91)-1))</f>
        <v/>
      </c>
      <c r="C91" s="8" t="n"/>
      <c r="D91" s="18" t="n"/>
      <c r="E91" s="18" t="n"/>
      <c r="F91" s="14">
        <f>IF(OR(D91="",E91=""),"",D91-E91)</f>
        <v/>
      </c>
      <c r="G91" s="12">
        <f>IF(F91="","",IF(F91&gt;=Setup!$B$8,"OK","Short"))</f>
        <v/>
      </c>
      <c r="H91" s="8" t="n"/>
      <c r="I91" s="8" t="n"/>
      <c r="J91" s="14">
        <f>IF(OR(A91="",C91=""),"",IFERROR(INDEX(Classes!$D$6:$D$45,MATCH(A91,Classes!$B$6:$B$45,0)),""))</f>
        <v/>
      </c>
      <c r="K91" s="8" t="n"/>
      <c r="L91" s="8" t="n"/>
      <c r="M91" s="15">
        <f>IF(OR(J91="",J91=0,K91=""),"",K91/J91)</f>
        <v/>
      </c>
      <c r="N91" s="8" t="n"/>
      <c r="O91" s="8" t="n"/>
      <c r="P91" s="8" t="n"/>
      <c r="Q91" s="8" t="n"/>
      <c r="R91" s="14">
        <f>IF(C91="","",IF(A91="",1,0)+IF(J91="",1,0)+IF(AND(J91&lt;&gt;"",K91&lt;&gt;""),IF(K91&gt;J91,1,0),0)+IF(G91="Short",1,0)+IF(I91="No",1,0)+IF(IFERROR(INDEX(Classes!$C$6:$C$45,MATCH(A91,Classes!$B$6:$B$45,0)),"")&lt;&gt;B91,1,0))</f>
        <v/>
      </c>
    </row>
    <row r="92">
      <c r="A92" s="8" t="n"/>
      <c r="B92" s="12">
        <f>IF(C92="","",LEFT(C92,FIND(" |",C92)-1))</f>
        <v/>
      </c>
      <c r="C92" s="8" t="n"/>
      <c r="D92" s="18" t="n"/>
      <c r="E92" s="18" t="n"/>
      <c r="F92" s="14">
        <f>IF(OR(D92="",E92=""),"",D92-E92)</f>
        <v/>
      </c>
      <c r="G92" s="12">
        <f>IF(F92="","",IF(F92&gt;=Setup!$B$8,"OK","Short"))</f>
        <v/>
      </c>
      <c r="H92" s="8" t="n"/>
      <c r="I92" s="8" t="n"/>
      <c r="J92" s="14">
        <f>IF(OR(A92="",C92=""),"",IFERROR(INDEX(Classes!$D$6:$D$45,MATCH(A92,Classes!$B$6:$B$45,0)),""))</f>
        <v/>
      </c>
      <c r="K92" s="8" t="n"/>
      <c r="L92" s="8" t="n"/>
      <c r="M92" s="15">
        <f>IF(OR(J92="",J92=0,K92=""),"",K92/J92)</f>
        <v/>
      </c>
      <c r="N92" s="8" t="n"/>
      <c r="O92" s="8" t="n"/>
      <c r="P92" s="8" t="n"/>
      <c r="Q92" s="8" t="n"/>
      <c r="R92" s="14">
        <f>IF(C92="","",IF(A92="",1,0)+IF(J92="",1,0)+IF(AND(J92&lt;&gt;"",K92&lt;&gt;""),IF(K92&gt;J92,1,0),0)+IF(G92="Short",1,0)+IF(I92="No",1,0)+IF(IFERROR(INDEX(Classes!$C$6:$C$45,MATCH(A92,Classes!$B$6:$B$45,0)),"")&lt;&gt;B92,1,0))</f>
        <v/>
      </c>
    </row>
    <row r="93">
      <c r="A93" s="8" t="n"/>
      <c r="B93" s="12">
        <f>IF(C93="","",LEFT(C93,FIND(" |",C93)-1))</f>
        <v/>
      </c>
      <c r="C93" s="8" t="n"/>
      <c r="D93" s="18" t="n"/>
      <c r="E93" s="18" t="n"/>
      <c r="F93" s="14">
        <f>IF(OR(D93="",E93=""),"",D93-E93)</f>
        <v/>
      </c>
      <c r="G93" s="12">
        <f>IF(F93="","",IF(F93&gt;=Setup!$B$8,"OK","Short"))</f>
        <v/>
      </c>
      <c r="H93" s="8" t="n"/>
      <c r="I93" s="8" t="n"/>
      <c r="J93" s="14">
        <f>IF(OR(A93="",C93=""),"",IFERROR(INDEX(Classes!$D$6:$D$45,MATCH(A93,Classes!$B$6:$B$45,0)),""))</f>
        <v/>
      </c>
      <c r="K93" s="8" t="n"/>
      <c r="L93" s="8" t="n"/>
      <c r="M93" s="15">
        <f>IF(OR(J93="",J93=0,K93=""),"",K93/J93)</f>
        <v/>
      </c>
      <c r="N93" s="8" t="n"/>
      <c r="O93" s="8" t="n"/>
      <c r="P93" s="8" t="n"/>
      <c r="Q93" s="8" t="n"/>
      <c r="R93" s="14">
        <f>IF(C93="","",IF(A93="",1,0)+IF(J93="",1,0)+IF(AND(J93&lt;&gt;"",K93&lt;&gt;""),IF(K93&gt;J93,1,0),0)+IF(G93="Short",1,0)+IF(I93="No",1,0)+IF(IFERROR(INDEX(Classes!$C$6:$C$45,MATCH(A93,Classes!$B$6:$B$45,0)),"")&lt;&gt;B93,1,0))</f>
        <v/>
      </c>
    </row>
    <row r="94">
      <c r="A94" s="8" t="n"/>
      <c r="B94" s="12">
        <f>IF(C94="","",LEFT(C94,FIND(" |",C94)-1))</f>
        <v/>
      </c>
      <c r="C94" s="8" t="n"/>
      <c r="D94" s="18" t="n"/>
      <c r="E94" s="18" t="n"/>
      <c r="F94" s="14">
        <f>IF(OR(D94="",E94=""),"",D94-E94)</f>
        <v/>
      </c>
      <c r="G94" s="12">
        <f>IF(F94="","",IF(F94&gt;=Setup!$B$8,"OK","Short"))</f>
        <v/>
      </c>
      <c r="H94" s="8" t="n"/>
      <c r="I94" s="8" t="n"/>
      <c r="J94" s="14">
        <f>IF(OR(A94="",C94=""),"",IFERROR(INDEX(Classes!$D$6:$D$45,MATCH(A94,Classes!$B$6:$B$45,0)),""))</f>
        <v/>
      </c>
      <c r="K94" s="8" t="n"/>
      <c r="L94" s="8" t="n"/>
      <c r="M94" s="15">
        <f>IF(OR(J94="",J94=0,K94=""),"",K94/J94)</f>
        <v/>
      </c>
      <c r="N94" s="8" t="n"/>
      <c r="O94" s="8" t="n"/>
      <c r="P94" s="8" t="n"/>
      <c r="Q94" s="8" t="n"/>
      <c r="R94" s="14">
        <f>IF(C94="","",IF(A94="",1,0)+IF(J94="",1,0)+IF(AND(J94&lt;&gt;"",K94&lt;&gt;""),IF(K94&gt;J94,1,0),0)+IF(G94="Short",1,0)+IF(I94="No",1,0)+IF(IFERROR(INDEX(Classes!$C$6:$C$45,MATCH(A94,Classes!$B$6:$B$45,0)),"")&lt;&gt;B94,1,0))</f>
        <v/>
      </c>
    </row>
    <row r="95">
      <c r="A95" s="8" t="n"/>
      <c r="B95" s="12">
        <f>IF(C95="","",LEFT(C95,FIND(" |",C95)-1))</f>
        <v/>
      </c>
      <c r="C95" s="8" t="n"/>
      <c r="D95" s="18" t="n"/>
      <c r="E95" s="18" t="n"/>
      <c r="F95" s="14">
        <f>IF(OR(D95="",E95=""),"",D95-E95)</f>
        <v/>
      </c>
      <c r="G95" s="12">
        <f>IF(F95="","",IF(F95&gt;=Setup!$B$8,"OK","Short"))</f>
        <v/>
      </c>
      <c r="H95" s="8" t="n"/>
      <c r="I95" s="8" t="n"/>
      <c r="J95" s="14">
        <f>IF(OR(A95="",C95=""),"",IFERROR(INDEX(Classes!$D$6:$D$45,MATCH(A95,Classes!$B$6:$B$45,0)),""))</f>
        <v/>
      </c>
      <c r="K95" s="8" t="n"/>
      <c r="L95" s="8" t="n"/>
      <c r="M95" s="15">
        <f>IF(OR(J95="",J95=0,K95=""),"",K95/J95)</f>
        <v/>
      </c>
      <c r="N95" s="8" t="n"/>
      <c r="O95" s="8" t="n"/>
      <c r="P95" s="8" t="n"/>
      <c r="Q95" s="8" t="n"/>
      <c r="R95" s="14">
        <f>IF(C95="","",IF(A95="",1,0)+IF(J95="",1,0)+IF(AND(J95&lt;&gt;"",K95&lt;&gt;""),IF(K95&gt;J95,1,0),0)+IF(G95="Short",1,0)+IF(I95="No",1,0)+IF(IFERROR(INDEX(Classes!$C$6:$C$45,MATCH(A95,Classes!$B$6:$B$45,0)),"")&lt;&gt;B95,1,0))</f>
        <v/>
      </c>
    </row>
    <row r="96">
      <c r="A96" s="8" t="n"/>
      <c r="B96" s="12">
        <f>IF(C96="","",LEFT(C96,FIND(" |",C96)-1))</f>
        <v/>
      </c>
      <c r="C96" s="8" t="n"/>
      <c r="D96" s="18" t="n"/>
      <c r="E96" s="18" t="n"/>
      <c r="F96" s="14">
        <f>IF(OR(D96="",E96=""),"",D96-E96)</f>
        <v/>
      </c>
      <c r="G96" s="12">
        <f>IF(F96="","",IF(F96&gt;=Setup!$B$8,"OK","Short"))</f>
        <v/>
      </c>
      <c r="H96" s="8" t="n"/>
      <c r="I96" s="8" t="n"/>
      <c r="J96" s="14">
        <f>IF(OR(A96="",C96=""),"",IFERROR(INDEX(Classes!$D$6:$D$45,MATCH(A96,Classes!$B$6:$B$45,0)),""))</f>
        <v/>
      </c>
      <c r="K96" s="8" t="n"/>
      <c r="L96" s="8" t="n"/>
      <c r="M96" s="15">
        <f>IF(OR(J96="",J96=0,K96=""),"",K96/J96)</f>
        <v/>
      </c>
      <c r="N96" s="8" t="n"/>
      <c r="O96" s="8" t="n"/>
      <c r="P96" s="8" t="n"/>
      <c r="Q96" s="8" t="n"/>
      <c r="R96" s="14">
        <f>IF(C96="","",IF(A96="",1,0)+IF(J96="",1,0)+IF(AND(J96&lt;&gt;"",K96&lt;&gt;""),IF(K96&gt;J96,1,0),0)+IF(G96="Short",1,0)+IF(I96="No",1,0)+IF(IFERROR(INDEX(Classes!$C$6:$C$45,MATCH(A96,Classes!$B$6:$B$45,0)),"")&lt;&gt;B96,1,0))</f>
        <v/>
      </c>
    </row>
    <row r="97">
      <c r="A97" s="8" t="n"/>
      <c r="B97" s="12">
        <f>IF(C97="","",LEFT(C97,FIND(" |",C97)-1))</f>
        <v/>
      </c>
      <c r="C97" s="8" t="n"/>
      <c r="D97" s="18" t="n"/>
      <c r="E97" s="18" t="n"/>
      <c r="F97" s="14">
        <f>IF(OR(D97="",E97=""),"",D97-E97)</f>
        <v/>
      </c>
      <c r="G97" s="12">
        <f>IF(F97="","",IF(F97&gt;=Setup!$B$8,"OK","Short"))</f>
        <v/>
      </c>
      <c r="H97" s="8" t="n"/>
      <c r="I97" s="8" t="n"/>
      <c r="J97" s="14">
        <f>IF(OR(A97="",C97=""),"",IFERROR(INDEX(Classes!$D$6:$D$45,MATCH(A97,Classes!$B$6:$B$45,0)),""))</f>
        <v/>
      </c>
      <c r="K97" s="8" t="n"/>
      <c r="L97" s="8" t="n"/>
      <c r="M97" s="15">
        <f>IF(OR(J97="",J97=0,K97=""),"",K97/J97)</f>
        <v/>
      </c>
      <c r="N97" s="8" t="n"/>
      <c r="O97" s="8" t="n"/>
      <c r="P97" s="8" t="n"/>
      <c r="Q97" s="8" t="n"/>
      <c r="R97" s="14">
        <f>IF(C97="","",IF(A97="",1,0)+IF(J97="",1,0)+IF(AND(J97&lt;&gt;"",K97&lt;&gt;""),IF(K97&gt;J97,1,0),0)+IF(G97="Short",1,0)+IF(I97="No",1,0)+IF(IFERROR(INDEX(Classes!$C$6:$C$45,MATCH(A97,Classes!$B$6:$B$45,0)),"")&lt;&gt;B97,1,0))</f>
        <v/>
      </c>
    </row>
    <row r="98">
      <c r="A98" s="8" t="n"/>
      <c r="B98" s="12">
        <f>IF(C98="","",LEFT(C98,FIND(" |",C98)-1))</f>
        <v/>
      </c>
      <c r="C98" s="8" t="n"/>
      <c r="D98" s="18" t="n"/>
      <c r="E98" s="18" t="n"/>
      <c r="F98" s="14">
        <f>IF(OR(D98="",E98=""),"",D98-E98)</f>
        <v/>
      </c>
      <c r="G98" s="12">
        <f>IF(F98="","",IF(F98&gt;=Setup!$B$8,"OK","Short"))</f>
        <v/>
      </c>
      <c r="H98" s="8" t="n"/>
      <c r="I98" s="8" t="n"/>
      <c r="J98" s="14">
        <f>IF(OR(A98="",C98=""),"",IFERROR(INDEX(Classes!$D$6:$D$45,MATCH(A98,Classes!$B$6:$B$45,0)),""))</f>
        <v/>
      </c>
      <c r="K98" s="8" t="n"/>
      <c r="L98" s="8" t="n"/>
      <c r="M98" s="15">
        <f>IF(OR(J98="",J98=0,K98=""),"",K98/J98)</f>
        <v/>
      </c>
      <c r="N98" s="8" t="n"/>
      <c r="O98" s="8" t="n"/>
      <c r="P98" s="8" t="n"/>
      <c r="Q98" s="8" t="n"/>
      <c r="R98" s="14">
        <f>IF(C98="","",IF(A98="",1,0)+IF(J98="",1,0)+IF(AND(J98&lt;&gt;"",K98&lt;&gt;""),IF(K98&gt;J98,1,0),0)+IF(G98="Short",1,0)+IF(I98="No",1,0)+IF(IFERROR(INDEX(Classes!$C$6:$C$45,MATCH(A98,Classes!$B$6:$B$45,0)),"")&lt;&gt;B98,1,0))</f>
        <v/>
      </c>
    </row>
    <row r="99">
      <c r="A99" s="8" t="n"/>
      <c r="B99" s="12">
        <f>IF(C99="","",LEFT(C99,FIND(" |",C99)-1))</f>
        <v/>
      </c>
      <c r="C99" s="8" t="n"/>
      <c r="D99" s="18" t="n"/>
      <c r="E99" s="18" t="n"/>
      <c r="F99" s="14">
        <f>IF(OR(D99="",E99=""),"",D99-E99)</f>
        <v/>
      </c>
      <c r="G99" s="12">
        <f>IF(F99="","",IF(F99&gt;=Setup!$B$8,"OK","Short"))</f>
        <v/>
      </c>
      <c r="H99" s="8" t="n"/>
      <c r="I99" s="8" t="n"/>
      <c r="J99" s="14">
        <f>IF(OR(A99="",C99=""),"",IFERROR(INDEX(Classes!$D$6:$D$45,MATCH(A99,Classes!$B$6:$B$45,0)),""))</f>
        <v/>
      </c>
      <c r="K99" s="8" t="n"/>
      <c r="L99" s="8" t="n"/>
      <c r="M99" s="15">
        <f>IF(OR(J99="",J99=0,K99=""),"",K99/J99)</f>
        <v/>
      </c>
      <c r="N99" s="8" t="n"/>
      <c r="O99" s="8" t="n"/>
      <c r="P99" s="8" t="n"/>
      <c r="Q99" s="8" t="n"/>
      <c r="R99" s="14">
        <f>IF(C99="","",IF(A99="",1,0)+IF(J99="",1,0)+IF(AND(J99&lt;&gt;"",K99&lt;&gt;""),IF(K99&gt;J99,1,0),0)+IF(G99="Short",1,0)+IF(I99="No",1,0)+IF(IFERROR(INDEX(Classes!$C$6:$C$45,MATCH(A99,Classes!$B$6:$B$45,0)),"")&lt;&gt;B99,1,0))</f>
        <v/>
      </c>
    </row>
    <row r="100">
      <c r="A100" s="8" t="n"/>
      <c r="B100" s="12">
        <f>IF(C100="","",LEFT(C100,FIND(" |",C100)-1))</f>
        <v/>
      </c>
      <c r="C100" s="8" t="n"/>
      <c r="D100" s="18" t="n"/>
      <c r="E100" s="18" t="n"/>
      <c r="F100" s="14">
        <f>IF(OR(D100="",E100=""),"",D100-E100)</f>
        <v/>
      </c>
      <c r="G100" s="12">
        <f>IF(F100="","",IF(F100&gt;=Setup!$B$8,"OK","Short"))</f>
        <v/>
      </c>
      <c r="H100" s="8" t="n"/>
      <c r="I100" s="8" t="n"/>
      <c r="J100" s="14">
        <f>IF(OR(A100="",C100=""),"",IFERROR(INDEX(Classes!$D$6:$D$45,MATCH(A100,Classes!$B$6:$B$45,0)),""))</f>
        <v/>
      </c>
      <c r="K100" s="8" t="n"/>
      <c r="L100" s="8" t="n"/>
      <c r="M100" s="15">
        <f>IF(OR(J100="",J100=0,K100=""),"",K100/J100)</f>
        <v/>
      </c>
      <c r="N100" s="8" t="n"/>
      <c r="O100" s="8" t="n"/>
      <c r="P100" s="8" t="n"/>
      <c r="Q100" s="8" t="n"/>
      <c r="R100" s="14">
        <f>IF(C100="","",IF(A100="",1,0)+IF(J100="",1,0)+IF(AND(J100&lt;&gt;"",K100&lt;&gt;""),IF(K100&gt;J100,1,0),0)+IF(G100="Short",1,0)+IF(I100="No",1,0)+IF(IFERROR(INDEX(Classes!$C$6:$C$45,MATCH(A100,Classes!$B$6:$B$45,0)),"")&lt;&gt;B100,1,0))</f>
        <v/>
      </c>
    </row>
    <row r="101">
      <c r="A101" s="8" t="n"/>
      <c r="B101" s="12">
        <f>IF(C101="","",LEFT(C101,FIND(" |",C101)-1))</f>
        <v/>
      </c>
      <c r="C101" s="8" t="n"/>
      <c r="D101" s="18" t="n"/>
      <c r="E101" s="18" t="n"/>
      <c r="F101" s="14">
        <f>IF(OR(D101="",E101=""),"",D101-E101)</f>
        <v/>
      </c>
      <c r="G101" s="12">
        <f>IF(F101="","",IF(F101&gt;=Setup!$B$8,"OK","Short"))</f>
        <v/>
      </c>
      <c r="H101" s="8" t="n"/>
      <c r="I101" s="8" t="n"/>
      <c r="J101" s="14">
        <f>IF(OR(A101="",C101=""),"",IFERROR(INDEX(Classes!$D$6:$D$45,MATCH(A101,Classes!$B$6:$B$45,0)),""))</f>
        <v/>
      </c>
      <c r="K101" s="8" t="n"/>
      <c r="L101" s="8" t="n"/>
      <c r="M101" s="15">
        <f>IF(OR(J101="",J101=0,K101=""),"",K101/J101)</f>
        <v/>
      </c>
      <c r="N101" s="8" t="n"/>
      <c r="O101" s="8" t="n"/>
      <c r="P101" s="8" t="n"/>
      <c r="Q101" s="8" t="n"/>
      <c r="R101" s="14">
        <f>IF(C101="","",IF(A101="",1,0)+IF(J101="",1,0)+IF(AND(J101&lt;&gt;"",K101&lt;&gt;""),IF(K101&gt;J101,1,0),0)+IF(G101="Short",1,0)+IF(I101="No",1,0)+IF(IFERROR(INDEX(Classes!$C$6:$C$45,MATCH(A101,Classes!$B$6:$B$45,0)),"")&lt;&gt;B101,1,0))</f>
        <v/>
      </c>
    </row>
    <row r="102">
      <c r="A102" s="8" t="n"/>
      <c r="B102" s="12">
        <f>IF(C102="","",LEFT(C102,FIND(" |",C102)-1))</f>
        <v/>
      </c>
      <c r="C102" s="8" t="n"/>
      <c r="D102" s="18" t="n"/>
      <c r="E102" s="18" t="n"/>
      <c r="F102" s="14">
        <f>IF(OR(D102="",E102=""),"",D102-E102)</f>
        <v/>
      </c>
      <c r="G102" s="12">
        <f>IF(F102="","",IF(F102&gt;=Setup!$B$8,"OK","Short"))</f>
        <v/>
      </c>
      <c r="H102" s="8" t="n"/>
      <c r="I102" s="8" t="n"/>
      <c r="J102" s="14">
        <f>IF(OR(A102="",C102=""),"",IFERROR(INDEX(Classes!$D$6:$D$45,MATCH(A102,Classes!$B$6:$B$45,0)),""))</f>
        <v/>
      </c>
      <c r="K102" s="8" t="n"/>
      <c r="L102" s="8" t="n"/>
      <c r="M102" s="15">
        <f>IF(OR(J102="",J102=0,K102=""),"",K102/J102)</f>
        <v/>
      </c>
      <c r="N102" s="8" t="n"/>
      <c r="O102" s="8" t="n"/>
      <c r="P102" s="8" t="n"/>
      <c r="Q102" s="8" t="n"/>
      <c r="R102" s="14">
        <f>IF(C102="","",IF(A102="",1,0)+IF(J102="",1,0)+IF(AND(J102&lt;&gt;"",K102&lt;&gt;""),IF(K102&gt;J102,1,0),0)+IF(G102="Short",1,0)+IF(I102="No",1,0)+IF(IFERROR(INDEX(Classes!$C$6:$C$45,MATCH(A102,Classes!$B$6:$B$45,0)),"")&lt;&gt;B102,1,0))</f>
        <v/>
      </c>
    </row>
    <row r="103">
      <c r="A103" s="8" t="n"/>
      <c r="B103" s="12">
        <f>IF(C103="","",LEFT(C103,FIND(" |",C103)-1))</f>
        <v/>
      </c>
      <c r="C103" s="8" t="n"/>
      <c r="D103" s="18" t="n"/>
      <c r="E103" s="18" t="n"/>
      <c r="F103" s="14">
        <f>IF(OR(D103="",E103=""),"",D103-E103)</f>
        <v/>
      </c>
      <c r="G103" s="12">
        <f>IF(F103="","",IF(F103&gt;=Setup!$B$8,"OK","Short"))</f>
        <v/>
      </c>
      <c r="H103" s="8" t="n"/>
      <c r="I103" s="8" t="n"/>
      <c r="J103" s="14">
        <f>IF(OR(A103="",C103=""),"",IFERROR(INDEX(Classes!$D$6:$D$45,MATCH(A103,Classes!$B$6:$B$45,0)),""))</f>
        <v/>
      </c>
      <c r="K103" s="8" t="n"/>
      <c r="L103" s="8" t="n"/>
      <c r="M103" s="15">
        <f>IF(OR(J103="",J103=0,K103=""),"",K103/J103)</f>
        <v/>
      </c>
      <c r="N103" s="8" t="n"/>
      <c r="O103" s="8" t="n"/>
      <c r="P103" s="8" t="n"/>
      <c r="Q103" s="8" t="n"/>
      <c r="R103" s="14">
        <f>IF(C103="","",IF(A103="",1,0)+IF(J103="",1,0)+IF(AND(J103&lt;&gt;"",K103&lt;&gt;""),IF(K103&gt;J103,1,0),0)+IF(G103="Short",1,0)+IF(I103="No",1,0)+IF(IFERROR(INDEX(Classes!$C$6:$C$45,MATCH(A103,Classes!$B$6:$B$45,0)),"")&lt;&gt;B103,1,0))</f>
        <v/>
      </c>
    </row>
    <row r="104">
      <c r="A104" s="8" t="n"/>
      <c r="B104" s="12">
        <f>IF(C104="","",LEFT(C104,FIND(" |",C104)-1))</f>
        <v/>
      </c>
      <c r="C104" s="8" t="n"/>
      <c r="D104" s="18" t="n"/>
      <c r="E104" s="18" t="n"/>
      <c r="F104" s="14">
        <f>IF(OR(D104="",E104=""),"",D104-E104)</f>
        <v/>
      </c>
      <c r="G104" s="12">
        <f>IF(F104="","",IF(F104&gt;=Setup!$B$8,"OK","Short"))</f>
        <v/>
      </c>
      <c r="H104" s="8" t="n"/>
      <c r="I104" s="8" t="n"/>
      <c r="J104" s="14">
        <f>IF(OR(A104="",C104=""),"",IFERROR(INDEX(Classes!$D$6:$D$45,MATCH(A104,Classes!$B$6:$B$45,0)),""))</f>
        <v/>
      </c>
      <c r="K104" s="8" t="n"/>
      <c r="L104" s="8" t="n"/>
      <c r="M104" s="15">
        <f>IF(OR(J104="",J104=0,K104=""),"",K104/J104)</f>
        <v/>
      </c>
      <c r="N104" s="8" t="n"/>
      <c r="O104" s="8" t="n"/>
      <c r="P104" s="8" t="n"/>
      <c r="Q104" s="8" t="n"/>
      <c r="R104" s="14">
        <f>IF(C104="","",IF(A104="",1,0)+IF(J104="",1,0)+IF(AND(J104&lt;&gt;"",K104&lt;&gt;""),IF(K104&gt;J104,1,0),0)+IF(G104="Short",1,0)+IF(I104="No",1,0)+IF(IFERROR(INDEX(Classes!$C$6:$C$45,MATCH(A104,Classes!$B$6:$B$45,0)),"")&lt;&gt;B104,1,0))</f>
        <v/>
      </c>
    </row>
    <row r="105">
      <c r="A105" s="8" t="n"/>
      <c r="B105" s="12">
        <f>IF(C105="","",LEFT(C105,FIND(" |",C105)-1))</f>
        <v/>
      </c>
      <c r="C105" s="8" t="n"/>
      <c r="D105" s="18" t="n"/>
      <c r="E105" s="18" t="n"/>
      <c r="F105" s="14">
        <f>IF(OR(D105="",E105=""),"",D105-E105)</f>
        <v/>
      </c>
      <c r="G105" s="12">
        <f>IF(F105="","",IF(F105&gt;=Setup!$B$8,"OK","Short"))</f>
        <v/>
      </c>
      <c r="H105" s="8" t="n"/>
      <c r="I105" s="8" t="n"/>
      <c r="J105" s="14">
        <f>IF(OR(A105="",C105=""),"",IFERROR(INDEX(Classes!$D$6:$D$45,MATCH(A105,Classes!$B$6:$B$45,0)),""))</f>
        <v/>
      </c>
      <c r="K105" s="8" t="n"/>
      <c r="L105" s="8" t="n"/>
      <c r="M105" s="15">
        <f>IF(OR(J105="",J105=0,K105=""),"",K105/J105)</f>
        <v/>
      </c>
      <c r="N105" s="8" t="n"/>
      <c r="O105" s="8" t="n"/>
      <c r="P105" s="8" t="n"/>
      <c r="Q105" s="8" t="n"/>
      <c r="R105" s="14">
        <f>IF(C105="","",IF(A105="",1,0)+IF(J105="",1,0)+IF(AND(J105&lt;&gt;"",K105&lt;&gt;""),IF(K105&gt;J105,1,0),0)+IF(G105="Short",1,0)+IF(I105="No",1,0)+IF(IFERROR(INDEX(Classes!$C$6:$C$45,MATCH(A105,Classes!$B$6:$B$45,0)),"")&lt;&gt;B105,1,0))</f>
        <v/>
      </c>
    </row>
    <row r="106">
      <c r="A106" s="8" t="n"/>
      <c r="B106" s="12">
        <f>IF(C106="","",LEFT(C106,FIND(" |",C106)-1))</f>
        <v/>
      </c>
      <c r="C106" s="8" t="n"/>
      <c r="D106" s="18" t="n"/>
      <c r="E106" s="18" t="n"/>
      <c r="F106" s="14">
        <f>IF(OR(D106="",E106=""),"",D106-E106)</f>
        <v/>
      </c>
      <c r="G106" s="12">
        <f>IF(F106="","",IF(F106&gt;=Setup!$B$8,"OK","Short"))</f>
        <v/>
      </c>
      <c r="H106" s="8" t="n"/>
      <c r="I106" s="8" t="n"/>
      <c r="J106" s="14">
        <f>IF(OR(A106="",C106=""),"",IFERROR(INDEX(Classes!$D$6:$D$45,MATCH(A106,Classes!$B$6:$B$45,0)),""))</f>
        <v/>
      </c>
      <c r="K106" s="8" t="n"/>
      <c r="L106" s="8" t="n"/>
      <c r="M106" s="15">
        <f>IF(OR(J106="",J106=0,K106=""),"",K106/J106)</f>
        <v/>
      </c>
      <c r="N106" s="8" t="n"/>
      <c r="O106" s="8" t="n"/>
      <c r="P106" s="8" t="n"/>
      <c r="Q106" s="8" t="n"/>
      <c r="R106" s="14">
        <f>IF(C106="","",IF(A106="",1,0)+IF(J106="",1,0)+IF(AND(J106&lt;&gt;"",K106&lt;&gt;""),IF(K106&gt;J106,1,0),0)+IF(G106="Short",1,0)+IF(I106="No",1,0)+IF(IFERROR(INDEX(Classes!$C$6:$C$45,MATCH(A106,Classes!$B$6:$B$45,0)),"")&lt;&gt;B106,1,0))</f>
        <v/>
      </c>
    </row>
    <row r="107">
      <c r="A107" s="8" t="n"/>
      <c r="B107" s="12">
        <f>IF(C107="","",LEFT(C107,FIND(" |",C107)-1))</f>
        <v/>
      </c>
      <c r="C107" s="8" t="n"/>
      <c r="D107" s="18" t="n"/>
      <c r="E107" s="18" t="n"/>
      <c r="F107" s="14">
        <f>IF(OR(D107="",E107=""),"",D107-E107)</f>
        <v/>
      </c>
      <c r="G107" s="12">
        <f>IF(F107="","",IF(F107&gt;=Setup!$B$8,"OK","Short"))</f>
        <v/>
      </c>
      <c r="H107" s="8" t="n"/>
      <c r="I107" s="8" t="n"/>
      <c r="J107" s="14">
        <f>IF(OR(A107="",C107=""),"",IFERROR(INDEX(Classes!$D$6:$D$45,MATCH(A107,Classes!$B$6:$B$45,0)),""))</f>
        <v/>
      </c>
      <c r="K107" s="8" t="n"/>
      <c r="L107" s="8" t="n"/>
      <c r="M107" s="15">
        <f>IF(OR(J107="",J107=0,K107=""),"",K107/J107)</f>
        <v/>
      </c>
      <c r="N107" s="8" t="n"/>
      <c r="O107" s="8" t="n"/>
      <c r="P107" s="8" t="n"/>
      <c r="Q107" s="8" t="n"/>
      <c r="R107" s="14">
        <f>IF(C107="","",IF(A107="",1,0)+IF(J107="",1,0)+IF(AND(J107&lt;&gt;"",K107&lt;&gt;""),IF(K107&gt;J107,1,0),0)+IF(G107="Short",1,0)+IF(I107="No",1,0)+IF(IFERROR(INDEX(Classes!$C$6:$C$45,MATCH(A107,Classes!$B$6:$B$45,0)),"")&lt;&gt;B107,1,0))</f>
        <v/>
      </c>
    </row>
    <row r="108">
      <c r="A108" s="8" t="n"/>
      <c r="B108" s="12">
        <f>IF(C108="","",LEFT(C108,FIND(" |",C108)-1))</f>
        <v/>
      </c>
      <c r="C108" s="8" t="n"/>
      <c r="D108" s="18" t="n"/>
      <c r="E108" s="18" t="n"/>
      <c r="F108" s="14">
        <f>IF(OR(D108="",E108=""),"",D108-E108)</f>
        <v/>
      </c>
      <c r="G108" s="12">
        <f>IF(F108="","",IF(F108&gt;=Setup!$B$8,"OK","Short"))</f>
        <v/>
      </c>
      <c r="H108" s="8" t="n"/>
      <c r="I108" s="8" t="n"/>
      <c r="J108" s="14">
        <f>IF(OR(A108="",C108=""),"",IFERROR(INDEX(Classes!$D$6:$D$45,MATCH(A108,Classes!$B$6:$B$45,0)),""))</f>
        <v/>
      </c>
      <c r="K108" s="8" t="n"/>
      <c r="L108" s="8" t="n"/>
      <c r="M108" s="15">
        <f>IF(OR(J108="",J108=0,K108=""),"",K108/J108)</f>
        <v/>
      </c>
      <c r="N108" s="8" t="n"/>
      <c r="O108" s="8" t="n"/>
      <c r="P108" s="8" t="n"/>
      <c r="Q108" s="8" t="n"/>
      <c r="R108" s="14">
        <f>IF(C108="","",IF(A108="",1,0)+IF(J108="",1,0)+IF(AND(J108&lt;&gt;"",K108&lt;&gt;""),IF(K108&gt;J108,1,0),0)+IF(G108="Short",1,0)+IF(I108="No",1,0)+IF(IFERROR(INDEX(Classes!$C$6:$C$45,MATCH(A108,Classes!$B$6:$B$45,0)),"")&lt;&gt;B108,1,0))</f>
        <v/>
      </c>
    </row>
    <row r="109">
      <c r="A109" s="8" t="n"/>
      <c r="B109" s="12">
        <f>IF(C109="","",LEFT(C109,FIND(" |",C109)-1))</f>
        <v/>
      </c>
      <c r="C109" s="8" t="n"/>
      <c r="D109" s="18" t="n"/>
      <c r="E109" s="18" t="n"/>
      <c r="F109" s="14">
        <f>IF(OR(D109="",E109=""),"",D109-E109)</f>
        <v/>
      </c>
      <c r="G109" s="12">
        <f>IF(F109="","",IF(F109&gt;=Setup!$B$8,"OK","Short"))</f>
        <v/>
      </c>
      <c r="H109" s="8" t="n"/>
      <c r="I109" s="8" t="n"/>
      <c r="J109" s="14">
        <f>IF(OR(A109="",C109=""),"",IFERROR(INDEX(Classes!$D$6:$D$45,MATCH(A109,Classes!$B$6:$B$45,0)),""))</f>
        <v/>
      </c>
      <c r="K109" s="8" t="n"/>
      <c r="L109" s="8" t="n"/>
      <c r="M109" s="15">
        <f>IF(OR(J109="",J109=0,K109=""),"",K109/J109)</f>
        <v/>
      </c>
      <c r="N109" s="8" t="n"/>
      <c r="O109" s="8" t="n"/>
      <c r="P109" s="8" t="n"/>
      <c r="Q109" s="8" t="n"/>
      <c r="R109" s="14">
        <f>IF(C109="","",IF(A109="",1,0)+IF(J109="",1,0)+IF(AND(J109&lt;&gt;"",K109&lt;&gt;""),IF(K109&gt;J109,1,0),0)+IF(G109="Short",1,0)+IF(I109="No",1,0)+IF(IFERROR(INDEX(Classes!$C$6:$C$45,MATCH(A109,Classes!$B$6:$B$45,0)),"")&lt;&gt;B109,1,0))</f>
        <v/>
      </c>
    </row>
    <row r="110">
      <c r="A110" s="8" t="n"/>
      <c r="B110" s="12">
        <f>IF(C110="","",LEFT(C110,FIND(" |",C110)-1))</f>
        <v/>
      </c>
      <c r="C110" s="8" t="n"/>
      <c r="D110" s="18" t="n"/>
      <c r="E110" s="18" t="n"/>
      <c r="F110" s="14">
        <f>IF(OR(D110="",E110=""),"",D110-E110)</f>
        <v/>
      </c>
      <c r="G110" s="12">
        <f>IF(F110="","",IF(F110&gt;=Setup!$B$8,"OK","Short"))</f>
        <v/>
      </c>
      <c r="H110" s="8" t="n"/>
      <c r="I110" s="8" t="n"/>
      <c r="J110" s="14">
        <f>IF(OR(A110="",C110=""),"",IFERROR(INDEX(Classes!$D$6:$D$45,MATCH(A110,Classes!$B$6:$B$45,0)),""))</f>
        <v/>
      </c>
      <c r="K110" s="8" t="n"/>
      <c r="L110" s="8" t="n"/>
      <c r="M110" s="15">
        <f>IF(OR(J110="",J110=0,K110=""),"",K110/J110)</f>
        <v/>
      </c>
      <c r="N110" s="8" t="n"/>
      <c r="O110" s="8" t="n"/>
      <c r="P110" s="8" t="n"/>
      <c r="Q110" s="8" t="n"/>
      <c r="R110" s="14">
        <f>IF(C110="","",IF(A110="",1,0)+IF(J110="",1,0)+IF(AND(J110&lt;&gt;"",K110&lt;&gt;""),IF(K110&gt;J110,1,0),0)+IF(G110="Short",1,0)+IF(I110="No",1,0)+IF(IFERROR(INDEX(Classes!$C$6:$C$45,MATCH(A110,Classes!$B$6:$B$45,0)),"")&lt;&gt;B110,1,0))</f>
        <v/>
      </c>
    </row>
    <row r="111">
      <c r="A111" s="8" t="n"/>
      <c r="B111" s="12">
        <f>IF(C111="","",LEFT(C111,FIND(" |",C111)-1))</f>
        <v/>
      </c>
      <c r="C111" s="8" t="n"/>
      <c r="D111" s="18" t="n"/>
      <c r="E111" s="18" t="n"/>
      <c r="F111" s="14">
        <f>IF(OR(D111="",E111=""),"",D111-E111)</f>
        <v/>
      </c>
      <c r="G111" s="12">
        <f>IF(F111="","",IF(F111&gt;=Setup!$B$8,"OK","Short"))</f>
        <v/>
      </c>
      <c r="H111" s="8" t="n"/>
      <c r="I111" s="8" t="n"/>
      <c r="J111" s="14">
        <f>IF(OR(A111="",C111=""),"",IFERROR(INDEX(Classes!$D$6:$D$45,MATCH(A111,Classes!$B$6:$B$45,0)),""))</f>
        <v/>
      </c>
      <c r="K111" s="8" t="n"/>
      <c r="L111" s="8" t="n"/>
      <c r="M111" s="15">
        <f>IF(OR(J111="",J111=0,K111=""),"",K111/J111)</f>
        <v/>
      </c>
      <c r="N111" s="8" t="n"/>
      <c r="O111" s="8" t="n"/>
      <c r="P111" s="8" t="n"/>
      <c r="Q111" s="8" t="n"/>
      <c r="R111" s="14">
        <f>IF(C111="","",IF(A111="",1,0)+IF(J111="",1,0)+IF(AND(J111&lt;&gt;"",K111&lt;&gt;""),IF(K111&gt;J111,1,0),0)+IF(G111="Short",1,0)+IF(I111="No",1,0)+IF(IFERROR(INDEX(Classes!$C$6:$C$45,MATCH(A111,Classes!$B$6:$B$45,0)),"")&lt;&gt;B111,1,0))</f>
        <v/>
      </c>
    </row>
    <row r="112">
      <c r="A112" s="8" t="n"/>
      <c r="B112" s="12">
        <f>IF(C112="","",LEFT(C112,FIND(" |",C112)-1))</f>
        <v/>
      </c>
      <c r="C112" s="8" t="n"/>
      <c r="D112" s="18" t="n"/>
      <c r="E112" s="18" t="n"/>
      <c r="F112" s="14">
        <f>IF(OR(D112="",E112=""),"",D112-E112)</f>
        <v/>
      </c>
      <c r="G112" s="12">
        <f>IF(F112="","",IF(F112&gt;=Setup!$B$8,"OK","Short"))</f>
        <v/>
      </c>
      <c r="H112" s="8" t="n"/>
      <c r="I112" s="8" t="n"/>
      <c r="J112" s="14">
        <f>IF(OR(A112="",C112=""),"",IFERROR(INDEX(Classes!$D$6:$D$45,MATCH(A112,Classes!$B$6:$B$45,0)),""))</f>
        <v/>
      </c>
      <c r="K112" s="8" t="n"/>
      <c r="L112" s="8" t="n"/>
      <c r="M112" s="15">
        <f>IF(OR(J112="",J112=0,K112=""),"",K112/J112)</f>
        <v/>
      </c>
      <c r="N112" s="8" t="n"/>
      <c r="O112" s="8" t="n"/>
      <c r="P112" s="8" t="n"/>
      <c r="Q112" s="8" t="n"/>
      <c r="R112" s="14">
        <f>IF(C112="","",IF(A112="",1,0)+IF(J112="",1,0)+IF(AND(J112&lt;&gt;"",K112&lt;&gt;""),IF(K112&gt;J112,1,0),0)+IF(G112="Short",1,0)+IF(I112="No",1,0)+IF(IFERROR(INDEX(Classes!$C$6:$C$45,MATCH(A112,Classes!$B$6:$B$45,0)),"")&lt;&gt;B112,1,0))</f>
        <v/>
      </c>
    </row>
    <row r="113">
      <c r="A113" s="8" t="n"/>
      <c r="B113" s="12">
        <f>IF(C113="","",LEFT(C113,FIND(" |",C113)-1))</f>
        <v/>
      </c>
      <c r="C113" s="8" t="n"/>
      <c r="D113" s="18" t="n"/>
      <c r="E113" s="18" t="n"/>
      <c r="F113" s="14">
        <f>IF(OR(D113="",E113=""),"",D113-E113)</f>
        <v/>
      </c>
      <c r="G113" s="12">
        <f>IF(F113="","",IF(F113&gt;=Setup!$B$8,"OK","Short"))</f>
        <v/>
      </c>
      <c r="H113" s="8" t="n"/>
      <c r="I113" s="8" t="n"/>
      <c r="J113" s="14">
        <f>IF(OR(A113="",C113=""),"",IFERROR(INDEX(Classes!$D$6:$D$45,MATCH(A113,Classes!$B$6:$B$45,0)),""))</f>
        <v/>
      </c>
      <c r="K113" s="8" t="n"/>
      <c r="L113" s="8" t="n"/>
      <c r="M113" s="15">
        <f>IF(OR(J113="",J113=0,K113=""),"",K113/J113)</f>
        <v/>
      </c>
      <c r="N113" s="8" t="n"/>
      <c r="O113" s="8" t="n"/>
      <c r="P113" s="8" t="n"/>
      <c r="Q113" s="8" t="n"/>
      <c r="R113" s="14">
        <f>IF(C113="","",IF(A113="",1,0)+IF(J113="",1,0)+IF(AND(J113&lt;&gt;"",K113&lt;&gt;""),IF(K113&gt;J113,1,0),0)+IF(G113="Short",1,0)+IF(I113="No",1,0)+IF(IFERROR(INDEX(Classes!$C$6:$C$45,MATCH(A113,Classes!$B$6:$B$45,0)),"")&lt;&gt;B113,1,0))</f>
        <v/>
      </c>
    </row>
    <row r="114">
      <c r="A114" s="8" t="n"/>
      <c r="B114" s="12">
        <f>IF(C114="","",LEFT(C114,FIND(" |",C114)-1))</f>
        <v/>
      </c>
      <c r="C114" s="8" t="n"/>
      <c r="D114" s="18" t="n"/>
      <c r="E114" s="18" t="n"/>
      <c r="F114" s="14">
        <f>IF(OR(D114="",E114=""),"",D114-E114)</f>
        <v/>
      </c>
      <c r="G114" s="12">
        <f>IF(F114="","",IF(F114&gt;=Setup!$B$8,"OK","Short"))</f>
        <v/>
      </c>
      <c r="H114" s="8" t="n"/>
      <c r="I114" s="8" t="n"/>
      <c r="J114" s="14">
        <f>IF(OR(A114="",C114=""),"",IFERROR(INDEX(Classes!$D$6:$D$45,MATCH(A114,Classes!$B$6:$B$45,0)),""))</f>
        <v/>
      </c>
      <c r="K114" s="8" t="n"/>
      <c r="L114" s="8" t="n"/>
      <c r="M114" s="15">
        <f>IF(OR(J114="",J114=0,K114=""),"",K114/J114)</f>
        <v/>
      </c>
      <c r="N114" s="8" t="n"/>
      <c r="O114" s="8" t="n"/>
      <c r="P114" s="8" t="n"/>
      <c r="Q114" s="8" t="n"/>
      <c r="R114" s="14">
        <f>IF(C114="","",IF(A114="",1,0)+IF(J114="",1,0)+IF(AND(J114&lt;&gt;"",K114&lt;&gt;""),IF(K114&gt;J114,1,0),0)+IF(G114="Short",1,0)+IF(I114="No",1,0)+IF(IFERROR(INDEX(Classes!$C$6:$C$45,MATCH(A114,Classes!$B$6:$B$45,0)),"")&lt;&gt;B114,1,0))</f>
        <v/>
      </c>
    </row>
    <row r="115">
      <c r="A115" s="8" t="n"/>
      <c r="B115" s="12">
        <f>IF(C115="","",LEFT(C115,FIND(" |",C115)-1))</f>
        <v/>
      </c>
      <c r="C115" s="8" t="n"/>
      <c r="D115" s="18" t="n"/>
      <c r="E115" s="18" t="n"/>
      <c r="F115" s="14">
        <f>IF(OR(D115="",E115=""),"",D115-E115)</f>
        <v/>
      </c>
      <c r="G115" s="12">
        <f>IF(F115="","",IF(F115&gt;=Setup!$B$8,"OK","Short"))</f>
        <v/>
      </c>
      <c r="H115" s="8" t="n"/>
      <c r="I115" s="8" t="n"/>
      <c r="J115" s="14">
        <f>IF(OR(A115="",C115=""),"",IFERROR(INDEX(Classes!$D$6:$D$45,MATCH(A115,Classes!$B$6:$B$45,0)),""))</f>
        <v/>
      </c>
      <c r="K115" s="8" t="n"/>
      <c r="L115" s="8" t="n"/>
      <c r="M115" s="15">
        <f>IF(OR(J115="",J115=0,K115=""),"",K115/J115)</f>
        <v/>
      </c>
      <c r="N115" s="8" t="n"/>
      <c r="O115" s="8" t="n"/>
      <c r="P115" s="8" t="n"/>
      <c r="Q115" s="8" t="n"/>
      <c r="R115" s="14">
        <f>IF(C115="","",IF(A115="",1,0)+IF(J115="",1,0)+IF(AND(J115&lt;&gt;"",K115&lt;&gt;""),IF(K115&gt;J115,1,0),0)+IF(G115="Short",1,0)+IF(I115="No",1,0)+IF(IFERROR(INDEX(Classes!$C$6:$C$45,MATCH(A115,Classes!$B$6:$B$45,0)),"")&lt;&gt;B115,1,0))</f>
        <v/>
      </c>
    </row>
    <row r="116">
      <c r="A116" s="8" t="n"/>
      <c r="B116" s="12">
        <f>IF(C116="","",LEFT(C116,FIND(" |",C116)-1))</f>
        <v/>
      </c>
      <c r="C116" s="8" t="n"/>
      <c r="D116" s="18" t="n"/>
      <c r="E116" s="18" t="n"/>
      <c r="F116" s="14">
        <f>IF(OR(D116="",E116=""),"",D116-E116)</f>
        <v/>
      </c>
      <c r="G116" s="12">
        <f>IF(F116="","",IF(F116&gt;=Setup!$B$8,"OK","Short"))</f>
        <v/>
      </c>
      <c r="H116" s="8" t="n"/>
      <c r="I116" s="8" t="n"/>
      <c r="J116" s="14">
        <f>IF(OR(A116="",C116=""),"",IFERROR(INDEX(Classes!$D$6:$D$45,MATCH(A116,Classes!$B$6:$B$45,0)),""))</f>
        <v/>
      </c>
      <c r="K116" s="8" t="n"/>
      <c r="L116" s="8" t="n"/>
      <c r="M116" s="15">
        <f>IF(OR(J116="",J116=0,K116=""),"",K116/J116)</f>
        <v/>
      </c>
      <c r="N116" s="8" t="n"/>
      <c r="O116" s="8" t="n"/>
      <c r="P116" s="8" t="n"/>
      <c r="Q116" s="8" t="n"/>
      <c r="R116" s="14">
        <f>IF(C116="","",IF(A116="",1,0)+IF(J116="",1,0)+IF(AND(J116&lt;&gt;"",K116&lt;&gt;""),IF(K116&gt;J116,1,0),0)+IF(G116="Short",1,0)+IF(I116="No",1,0)+IF(IFERROR(INDEX(Classes!$C$6:$C$45,MATCH(A116,Classes!$B$6:$B$45,0)),"")&lt;&gt;B116,1,0))</f>
        <v/>
      </c>
    </row>
    <row r="117">
      <c r="A117" s="8" t="n"/>
      <c r="B117" s="12">
        <f>IF(C117="","",LEFT(C117,FIND(" |",C117)-1))</f>
        <v/>
      </c>
      <c r="C117" s="8" t="n"/>
      <c r="D117" s="18" t="n"/>
      <c r="E117" s="18" t="n"/>
      <c r="F117" s="14">
        <f>IF(OR(D117="",E117=""),"",D117-E117)</f>
        <v/>
      </c>
      <c r="G117" s="12">
        <f>IF(F117="","",IF(F117&gt;=Setup!$B$8,"OK","Short"))</f>
        <v/>
      </c>
      <c r="H117" s="8" t="n"/>
      <c r="I117" s="8" t="n"/>
      <c r="J117" s="14">
        <f>IF(OR(A117="",C117=""),"",IFERROR(INDEX(Classes!$D$6:$D$45,MATCH(A117,Classes!$B$6:$B$45,0)),""))</f>
        <v/>
      </c>
      <c r="K117" s="8" t="n"/>
      <c r="L117" s="8" t="n"/>
      <c r="M117" s="15">
        <f>IF(OR(J117="",J117=0,K117=""),"",K117/J117)</f>
        <v/>
      </c>
      <c r="N117" s="8" t="n"/>
      <c r="O117" s="8" t="n"/>
      <c r="P117" s="8" t="n"/>
      <c r="Q117" s="8" t="n"/>
      <c r="R117" s="14">
        <f>IF(C117="","",IF(A117="",1,0)+IF(J117="",1,0)+IF(AND(J117&lt;&gt;"",K117&lt;&gt;""),IF(K117&gt;J117,1,0),0)+IF(G117="Short",1,0)+IF(I117="No",1,0)+IF(IFERROR(INDEX(Classes!$C$6:$C$45,MATCH(A117,Classes!$B$6:$B$45,0)),"")&lt;&gt;B117,1,0))</f>
        <v/>
      </c>
    </row>
    <row r="118">
      <c r="A118" s="8" t="n"/>
      <c r="B118" s="12">
        <f>IF(C118="","",LEFT(C118,FIND(" |",C118)-1))</f>
        <v/>
      </c>
      <c r="C118" s="8" t="n"/>
      <c r="D118" s="18" t="n"/>
      <c r="E118" s="18" t="n"/>
      <c r="F118" s="14">
        <f>IF(OR(D118="",E118=""),"",D118-E118)</f>
        <v/>
      </c>
      <c r="G118" s="12">
        <f>IF(F118="","",IF(F118&gt;=Setup!$B$8,"OK","Short"))</f>
        <v/>
      </c>
      <c r="H118" s="8" t="n"/>
      <c r="I118" s="8" t="n"/>
      <c r="J118" s="14">
        <f>IF(OR(A118="",C118=""),"",IFERROR(INDEX(Classes!$D$6:$D$45,MATCH(A118,Classes!$B$6:$B$45,0)),""))</f>
        <v/>
      </c>
      <c r="K118" s="8" t="n"/>
      <c r="L118" s="8" t="n"/>
      <c r="M118" s="15">
        <f>IF(OR(J118="",J118=0,K118=""),"",K118/J118)</f>
        <v/>
      </c>
      <c r="N118" s="8" t="n"/>
      <c r="O118" s="8" t="n"/>
      <c r="P118" s="8" t="n"/>
      <c r="Q118" s="8" t="n"/>
      <c r="R118" s="14">
        <f>IF(C118="","",IF(A118="",1,0)+IF(J118="",1,0)+IF(AND(J118&lt;&gt;"",K118&lt;&gt;""),IF(K118&gt;J118,1,0),0)+IF(G118="Short",1,0)+IF(I118="No",1,0)+IF(IFERROR(INDEX(Classes!$C$6:$C$45,MATCH(A118,Classes!$B$6:$B$45,0)),"")&lt;&gt;B118,1,0))</f>
        <v/>
      </c>
    </row>
    <row r="119">
      <c r="A119" s="8" t="n"/>
      <c r="B119" s="12">
        <f>IF(C119="","",LEFT(C119,FIND(" |",C119)-1))</f>
        <v/>
      </c>
      <c r="C119" s="8" t="n"/>
      <c r="D119" s="18" t="n"/>
      <c r="E119" s="18" t="n"/>
      <c r="F119" s="14">
        <f>IF(OR(D119="",E119=""),"",D119-E119)</f>
        <v/>
      </c>
      <c r="G119" s="12">
        <f>IF(F119="","",IF(F119&gt;=Setup!$B$8,"OK","Short"))</f>
        <v/>
      </c>
      <c r="H119" s="8" t="n"/>
      <c r="I119" s="8" t="n"/>
      <c r="J119" s="14">
        <f>IF(OR(A119="",C119=""),"",IFERROR(INDEX(Classes!$D$6:$D$45,MATCH(A119,Classes!$B$6:$B$45,0)),""))</f>
        <v/>
      </c>
      <c r="K119" s="8" t="n"/>
      <c r="L119" s="8" t="n"/>
      <c r="M119" s="15">
        <f>IF(OR(J119="",J119=0,K119=""),"",K119/J119)</f>
        <v/>
      </c>
      <c r="N119" s="8" t="n"/>
      <c r="O119" s="8" t="n"/>
      <c r="P119" s="8" t="n"/>
      <c r="Q119" s="8" t="n"/>
      <c r="R119" s="14">
        <f>IF(C119="","",IF(A119="",1,0)+IF(J119="",1,0)+IF(AND(J119&lt;&gt;"",K119&lt;&gt;""),IF(K119&gt;J119,1,0),0)+IF(G119="Short",1,0)+IF(I119="No",1,0)+IF(IFERROR(INDEX(Classes!$C$6:$C$45,MATCH(A119,Classes!$B$6:$B$45,0)),"")&lt;&gt;B119,1,0))</f>
        <v/>
      </c>
    </row>
    <row r="120">
      <c r="A120" s="8" t="n"/>
      <c r="B120" s="12">
        <f>IF(C120="","",LEFT(C120,FIND(" |",C120)-1))</f>
        <v/>
      </c>
      <c r="C120" s="8" t="n"/>
      <c r="D120" s="18" t="n"/>
      <c r="E120" s="18" t="n"/>
      <c r="F120" s="14">
        <f>IF(OR(D120="",E120=""),"",D120-E120)</f>
        <v/>
      </c>
      <c r="G120" s="12">
        <f>IF(F120="","",IF(F120&gt;=Setup!$B$8,"OK","Short"))</f>
        <v/>
      </c>
      <c r="H120" s="8" t="n"/>
      <c r="I120" s="8" t="n"/>
      <c r="J120" s="14">
        <f>IF(OR(A120="",C120=""),"",IFERROR(INDEX(Classes!$D$6:$D$45,MATCH(A120,Classes!$B$6:$B$45,0)),""))</f>
        <v/>
      </c>
      <c r="K120" s="8" t="n"/>
      <c r="L120" s="8" t="n"/>
      <c r="M120" s="15">
        <f>IF(OR(J120="",J120=0,K120=""),"",K120/J120)</f>
        <v/>
      </c>
      <c r="N120" s="8" t="n"/>
      <c r="O120" s="8" t="n"/>
      <c r="P120" s="8" t="n"/>
      <c r="Q120" s="8" t="n"/>
      <c r="R120" s="14">
        <f>IF(C120="","",IF(A120="",1,0)+IF(J120="",1,0)+IF(AND(J120&lt;&gt;"",K120&lt;&gt;""),IF(K120&gt;J120,1,0),0)+IF(G120="Short",1,0)+IF(I120="No",1,0)+IF(IFERROR(INDEX(Classes!$C$6:$C$45,MATCH(A120,Classes!$B$6:$B$45,0)),"")&lt;&gt;B120,1,0))</f>
        <v/>
      </c>
    </row>
    <row r="121">
      <c r="A121" s="8" t="n"/>
      <c r="B121" s="12">
        <f>IF(C121="","",LEFT(C121,FIND(" |",C121)-1))</f>
        <v/>
      </c>
      <c r="C121" s="8" t="n"/>
      <c r="D121" s="18" t="n"/>
      <c r="E121" s="18" t="n"/>
      <c r="F121" s="14">
        <f>IF(OR(D121="",E121=""),"",D121-E121)</f>
        <v/>
      </c>
      <c r="G121" s="12">
        <f>IF(F121="","",IF(F121&gt;=Setup!$B$8,"OK","Short"))</f>
        <v/>
      </c>
      <c r="H121" s="8" t="n"/>
      <c r="I121" s="8" t="n"/>
      <c r="J121" s="14">
        <f>IF(OR(A121="",C121=""),"",IFERROR(INDEX(Classes!$D$6:$D$45,MATCH(A121,Classes!$B$6:$B$45,0)),""))</f>
        <v/>
      </c>
      <c r="K121" s="8" t="n"/>
      <c r="L121" s="8" t="n"/>
      <c r="M121" s="15">
        <f>IF(OR(J121="",J121=0,K121=""),"",K121/J121)</f>
        <v/>
      </c>
      <c r="N121" s="8" t="n"/>
      <c r="O121" s="8" t="n"/>
      <c r="P121" s="8" t="n"/>
      <c r="Q121" s="8" t="n"/>
      <c r="R121" s="14">
        <f>IF(C121="","",IF(A121="",1,0)+IF(J121="",1,0)+IF(AND(J121&lt;&gt;"",K121&lt;&gt;""),IF(K121&gt;J121,1,0),0)+IF(G121="Short",1,0)+IF(I121="No",1,0)+IF(IFERROR(INDEX(Classes!$C$6:$C$45,MATCH(A121,Classes!$B$6:$B$45,0)),"")&lt;&gt;B121,1,0))</f>
        <v/>
      </c>
    </row>
    <row r="122">
      <c r="A122" s="8" t="n"/>
      <c r="B122" s="12">
        <f>IF(C122="","",LEFT(C122,FIND(" |",C122)-1))</f>
        <v/>
      </c>
      <c r="C122" s="8" t="n"/>
      <c r="D122" s="18" t="n"/>
      <c r="E122" s="18" t="n"/>
      <c r="F122" s="14">
        <f>IF(OR(D122="",E122=""),"",D122-E122)</f>
        <v/>
      </c>
      <c r="G122" s="12">
        <f>IF(F122="","",IF(F122&gt;=Setup!$B$8,"OK","Short"))</f>
        <v/>
      </c>
      <c r="H122" s="8" t="n"/>
      <c r="I122" s="8" t="n"/>
      <c r="J122" s="14">
        <f>IF(OR(A122="",C122=""),"",IFERROR(INDEX(Classes!$D$6:$D$45,MATCH(A122,Classes!$B$6:$B$45,0)),""))</f>
        <v/>
      </c>
      <c r="K122" s="8" t="n"/>
      <c r="L122" s="8" t="n"/>
      <c r="M122" s="15">
        <f>IF(OR(J122="",J122=0,K122=""),"",K122/J122)</f>
        <v/>
      </c>
      <c r="N122" s="8" t="n"/>
      <c r="O122" s="8" t="n"/>
      <c r="P122" s="8" t="n"/>
      <c r="Q122" s="8" t="n"/>
      <c r="R122" s="14">
        <f>IF(C122="","",IF(A122="",1,0)+IF(J122="",1,0)+IF(AND(J122&lt;&gt;"",K122&lt;&gt;""),IF(K122&gt;J122,1,0),0)+IF(G122="Short",1,0)+IF(I122="No",1,0)+IF(IFERROR(INDEX(Classes!$C$6:$C$45,MATCH(A122,Classes!$B$6:$B$45,0)),"")&lt;&gt;B122,1,0))</f>
        <v/>
      </c>
    </row>
    <row r="123">
      <c r="A123" s="8" t="n"/>
      <c r="B123" s="12">
        <f>IF(C123="","",LEFT(C123,FIND(" |",C123)-1))</f>
        <v/>
      </c>
      <c r="C123" s="8" t="n"/>
      <c r="D123" s="18" t="n"/>
      <c r="E123" s="18" t="n"/>
      <c r="F123" s="14">
        <f>IF(OR(D123="",E123=""),"",D123-E123)</f>
        <v/>
      </c>
      <c r="G123" s="12">
        <f>IF(F123="","",IF(F123&gt;=Setup!$B$8,"OK","Short"))</f>
        <v/>
      </c>
      <c r="H123" s="8" t="n"/>
      <c r="I123" s="8" t="n"/>
      <c r="J123" s="14">
        <f>IF(OR(A123="",C123=""),"",IFERROR(INDEX(Classes!$D$6:$D$45,MATCH(A123,Classes!$B$6:$B$45,0)),""))</f>
        <v/>
      </c>
      <c r="K123" s="8" t="n"/>
      <c r="L123" s="8" t="n"/>
      <c r="M123" s="15">
        <f>IF(OR(J123="",J123=0,K123=""),"",K123/J123)</f>
        <v/>
      </c>
      <c r="N123" s="8" t="n"/>
      <c r="O123" s="8" t="n"/>
      <c r="P123" s="8" t="n"/>
      <c r="Q123" s="8" t="n"/>
      <c r="R123" s="14">
        <f>IF(C123="","",IF(A123="",1,0)+IF(J123="",1,0)+IF(AND(J123&lt;&gt;"",K123&lt;&gt;""),IF(K123&gt;J123,1,0),0)+IF(G123="Short",1,0)+IF(I123="No",1,0)+IF(IFERROR(INDEX(Classes!$C$6:$C$45,MATCH(A123,Classes!$B$6:$B$45,0)),"")&lt;&gt;B123,1,0))</f>
        <v/>
      </c>
    </row>
    <row r="124">
      <c r="A124" s="8" t="n"/>
      <c r="B124" s="12">
        <f>IF(C124="","",LEFT(C124,FIND(" |",C124)-1))</f>
        <v/>
      </c>
      <c r="C124" s="8" t="n"/>
      <c r="D124" s="18" t="n"/>
      <c r="E124" s="18" t="n"/>
      <c r="F124" s="14">
        <f>IF(OR(D124="",E124=""),"",D124-E124)</f>
        <v/>
      </c>
      <c r="G124" s="12">
        <f>IF(F124="","",IF(F124&gt;=Setup!$B$8,"OK","Short"))</f>
        <v/>
      </c>
      <c r="H124" s="8" t="n"/>
      <c r="I124" s="8" t="n"/>
      <c r="J124" s="14">
        <f>IF(OR(A124="",C124=""),"",IFERROR(INDEX(Classes!$D$6:$D$45,MATCH(A124,Classes!$B$6:$B$45,0)),""))</f>
        <v/>
      </c>
      <c r="K124" s="8" t="n"/>
      <c r="L124" s="8" t="n"/>
      <c r="M124" s="15">
        <f>IF(OR(J124="",J124=0,K124=""),"",K124/J124)</f>
        <v/>
      </c>
      <c r="N124" s="8" t="n"/>
      <c r="O124" s="8" t="n"/>
      <c r="P124" s="8" t="n"/>
      <c r="Q124" s="8" t="n"/>
      <c r="R124" s="14">
        <f>IF(C124="","",IF(A124="",1,0)+IF(J124="",1,0)+IF(AND(J124&lt;&gt;"",K124&lt;&gt;""),IF(K124&gt;J124,1,0),0)+IF(G124="Short",1,0)+IF(I124="No",1,0)+IF(IFERROR(INDEX(Classes!$C$6:$C$45,MATCH(A124,Classes!$B$6:$B$45,0)),"")&lt;&gt;B124,1,0))</f>
        <v/>
      </c>
    </row>
    <row r="125">
      <c r="A125" s="8" t="n"/>
      <c r="B125" s="12">
        <f>IF(C125="","",LEFT(C125,FIND(" |",C125)-1))</f>
        <v/>
      </c>
      <c r="C125" s="8" t="n"/>
      <c r="D125" s="18" t="n"/>
      <c r="E125" s="18" t="n"/>
      <c r="F125" s="14">
        <f>IF(OR(D125="",E125=""),"",D125-E125)</f>
        <v/>
      </c>
      <c r="G125" s="12">
        <f>IF(F125="","",IF(F125&gt;=Setup!$B$8,"OK","Short"))</f>
        <v/>
      </c>
      <c r="H125" s="8" t="n"/>
      <c r="I125" s="8" t="n"/>
      <c r="J125" s="14">
        <f>IF(OR(A125="",C125=""),"",IFERROR(INDEX(Classes!$D$6:$D$45,MATCH(A125,Classes!$B$6:$B$45,0)),""))</f>
        <v/>
      </c>
      <c r="K125" s="8" t="n"/>
      <c r="L125" s="8" t="n"/>
      <c r="M125" s="15">
        <f>IF(OR(J125="",J125=0,K125=""),"",K125/J125)</f>
        <v/>
      </c>
      <c r="N125" s="8" t="n"/>
      <c r="O125" s="8" t="n"/>
      <c r="P125" s="8" t="n"/>
      <c r="Q125" s="8" t="n"/>
      <c r="R125" s="14">
        <f>IF(C125="","",IF(A125="",1,0)+IF(J125="",1,0)+IF(AND(J125&lt;&gt;"",K125&lt;&gt;""),IF(K125&gt;J125,1,0),0)+IF(G125="Short",1,0)+IF(I125="No",1,0)+IF(IFERROR(INDEX(Classes!$C$6:$C$45,MATCH(A125,Classes!$B$6:$B$45,0)),"")&lt;&gt;B125,1,0))</f>
        <v/>
      </c>
    </row>
  </sheetData>
  <sheetProtection selectLockedCells="0" selectUnlockedCells="0" sheet="1" objects="0" insertRows="1" insertHyperlinks="1" autoFilter="0" scenarios="0" formatColumns="0" deleteColumns="1" insertColumns="1" pivotTables="1" deleteRows="1" formatCells="1" formatRows="0" sort="0"/>
  <mergeCells count="2">
    <mergeCell ref="A3:R3"/>
    <mergeCell ref="A2:R2"/>
  </mergeCells>
  <conditionalFormatting sqref="G6:G125">
    <cfRule type="cellIs" priority="1" operator="equal" dxfId="0">
      <formula>"Short"</formula>
    </cfRule>
    <cfRule type="cellIs" priority="2" operator="equal" dxfId="1">
      <formula>"OK"</formula>
    </cfRule>
  </conditionalFormatting>
  <conditionalFormatting sqref="I6:I125">
    <cfRule type="cellIs" priority="3" operator="equal" dxfId="0">
      <formula>"No"</formula>
    </cfRule>
  </conditionalFormatting>
  <conditionalFormatting sqref="M6:M125">
    <cfRule type="expression" priority="4" dxfId="2">
      <formula>AND(ISNUMBER(M6),M6&gt;=Setup!$B$7)</formula>
    </cfRule>
  </conditionalFormatting>
  <conditionalFormatting sqref="R6:R125">
    <cfRule type="cellIs" priority="5" operator="greaterThan" dxfId="0">
      <formula>0</formula>
    </cfRule>
  </conditionalFormatting>
  <dataValidations count="7">
    <dataValidation sqref="A6:A125" showDropDown="0" showInputMessage="1" showErrorMessage="1" allowBlank="1" errorTitle="Check this entry" error="Choose a class from the list." promptTitle="Class" prompt="Pick a class you entered on the Classes sheet." type="list" errorStyle="stop">
      <formula1>Classes!$B$6:$B$45</formula1>
    </dataValidation>
    <dataValidation sqref="C6:C125" showDropDown="0" showInputMessage="1" showErrorMessage="1" allowBlank="1" errorTitle="Check this entry" error="Choose a lesson from the list." promptTitle="Sensitive lesson" prompt="Pick the lesson." type="list" errorStyle="stop">
      <formula1>Lists!$E$6:$E$20</formula1>
    </dataValidation>
    <dataValidation sqref="D6:E125" showDropDown="0" showInputMessage="1" showErrorMessage="1" allowBlank="1" errorTitle="Check this entry" error="Type a valid date." promptTitle="Date" prompt="A date such as 2026-11-12." type="date" errorStyle="stop" operator="between">
      <formula1>43831</formula1>
      <formula2>73415</formula2>
    </dataValidation>
    <dataValidation sqref="H6:I125" showDropDown="0" showInputMessage="1" showErrorMessage="1" allowBlank="1" errorTitle="Check this entry" error="Choose Yes or No." promptTitle="Yes or No" prompt="Yes or No." type="list" errorStyle="stop">
      <formula1>Lists!$D$6:$D$7</formula1>
    </dataValidation>
    <dataValidation sqref="L6:L125" showDropDown="0" showInputMessage="1" showErrorMessage="1" allowBlank="1" errorTitle="Check this entry" error="Choose Yes or No." promptTitle="Yes or No" prompt="Yes or No." type="list" errorStyle="stop">
      <formula1>Lists!$D$6:$D$7</formula1>
    </dataValidation>
    <dataValidation sqref="N6:Q125" showDropDown="0" showInputMessage="1" showErrorMessage="1" allowBlank="1" errorTitle="Check this entry" error="Type a whole number from 0 to 500." promptTitle="Count" prompt="A whole number. Counts only, never names." type="whole" errorStyle="stop" operator="between">
      <formula1>0</formula1>
      <formula2>500</formula2>
    </dataValidation>
    <dataValidation sqref="K6:K125" showDropDown="0" showInputMessage="1" showErrorMessage="1" allowBlank="1" errorTitle="Check this entry" error="A count cannot be larger than the number enrolled." promptTitle="Opt-out requests" prompt="A count. It cannot be larger than the number enrolled." type="custom" errorStyle="stop">
      <formula1>OR($J6="",K6&lt;=$J6)</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8.xml><?xml version="1.0" encoding="utf-8"?>
<worksheet xmlns="http://schemas.openxmlformats.org/spreadsheetml/2006/main">
  <sheetPr>
    <tabColor rgb="00FF8A3D"/>
    <outlinePr summaryBelow="1" summaryRight="1"/>
    <pageSetUpPr fitToPage="1"/>
  </sheetPr>
  <dimension ref="A1:G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14" customWidth="1" min="4" max="4"/>
    <col width="10" customWidth="1" min="5" max="5"/>
    <col width="16" customWidth="1" min="6" max="6"/>
    <col width="16" customWidth="1" min="7" max="7"/>
  </cols>
  <sheetData>
    <row r="1">
      <c r="A1" s="5" t="inlineStr">
        <is>
          <t>Family engagement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Counts only. Families notified means letters or messages sent home. Reply slips returned are the optional Family Reply slips. Never record who replied.</t>
        </is>
      </c>
    </row>
    <row r="5" ht="48" customHeight="1">
      <c r="A5" s="11" t="inlineStr">
        <is>
          <t>Class</t>
        </is>
      </c>
      <c r="B5" s="11" t="inlineStr">
        <is>
          <t>Band</t>
        </is>
      </c>
      <c r="C5" s="11" t="inlineStr">
        <is>
          <t>Families notified (count)</t>
        </is>
      </c>
      <c r="D5" s="11" t="inlineStr">
        <is>
          <t>Reply slips returned (count)</t>
        </is>
      </c>
      <c r="E5" s="11" t="inlineStr">
        <is>
          <t>Reply rate</t>
        </is>
      </c>
      <c r="F5" s="11" t="inlineStr">
        <is>
          <t>Family event attendees (count)</t>
        </is>
      </c>
      <c r="G5" s="11" t="inlineStr">
        <is>
          <t>Family previews held (count)</t>
        </is>
      </c>
    </row>
    <row r="6">
      <c r="A6" s="12">
        <f>IF(Classes!B6="","",Classes!B6)</f>
        <v/>
      </c>
      <c r="B6" s="12">
        <f>IF(Classes!B6="","",IF(Classes!C6="","",Classes!C6))</f>
        <v/>
      </c>
      <c r="C6" s="8" t="n">
        <v>22</v>
      </c>
      <c r="D6" s="8" t="n">
        <v>9</v>
      </c>
      <c r="E6" s="15">
        <f>IF(OR(A6="",C6="",C6=0,D6=""),"",D6/C6)</f>
        <v/>
      </c>
      <c r="F6" s="8" t="n">
        <v>14</v>
      </c>
      <c r="G6" s="8" t="n">
        <v>2</v>
      </c>
    </row>
    <row r="7">
      <c r="A7" s="12">
        <f>IF(Classes!B7="","",Classes!B7)</f>
        <v/>
      </c>
      <c r="B7" s="12">
        <f>IF(Classes!B7="","",IF(Classes!C7="","",Classes!C7))</f>
        <v/>
      </c>
      <c r="C7" s="8" t="n">
        <v>20</v>
      </c>
      <c r="D7" s="8" t="n">
        <v>7</v>
      </c>
      <c r="E7" s="15">
        <f>IF(OR(A7="",C7="",C7=0,D7=""),"",D7/C7)</f>
        <v/>
      </c>
      <c r="F7" s="8" t="n">
        <v>11</v>
      </c>
      <c r="G7" s="8" t="n">
        <v>1</v>
      </c>
    </row>
    <row r="8">
      <c r="A8" s="12">
        <f>IF(Classes!B8="","",Classes!B8)</f>
        <v/>
      </c>
      <c r="B8" s="12">
        <f>IF(Classes!B8="","",IF(Classes!C8="","",Classes!C8))</f>
        <v/>
      </c>
      <c r="C8" s="8" t="n">
        <v>24</v>
      </c>
      <c r="D8" s="8" t="n">
        <v>11</v>
      </c>
      <c r="E8" s="15">
        <f>IF(OR(A8="",C8="",C8=0,D8=""),"",D8/C8)</f>
        <v/>
      </c>
      <c r="F8" s="8" t="n">
        <v>16</v>
      </c>
      <c r="G8" s="8" t="n">
        <v>3</v>
      </c>
    </row>
    <row r="9">
      <c r="A9" s="12">
        <f>IF(Classes!B9="","",Classes!B9)</f>
        <v/>
      </c>
      <c r="B9" s="12">
        <f>IF(Classes!B9="","",IF(Classes!C9="","",Classes!C9))</f>
        <v/>
      </c>
      <c r="C9" s="8" t="n">
        <v>23</v>
      </c>
      <c r="D9" s="8" t="n">
        <v>8</v>
      </c>
      <c r="E9" s="15">
        <f>IF(OR(A9="",C9="",C9=0,D9=""),"",D9/C9)</f>
        <v/>
      </c>
      <c r="F9" s="8" t="n">
        <v>12</v>
      </c>
      <c r="G9" s="8" t="n">
        <v>0</v>
      </c>
    </row>
    <row r="10">
      <c r="A10" s="12">
        <f>IF(Classes!B10="","",Classes!B10)</f>
        <v/>
      </c>
      <c r="B10" s="12">
        <f>IF(Classes!B10="","",IF(Classes!C10="","",Classes!C10))</f>
        <v/>
      </c>
      <c r="C10" s="8" t="n">
        <v>27</v>
      </c>
      <c r="D10" s="8" t="n">
        <v>6</v>
      </c>
      <c r="E10" s="15">
        <f>IF(OR(A10="",C10="",C10=0,D10=""),"",D10/C10)</f>
        <v/>
      </c>
      <c r="F10" s="8" t="n">
        <v>9</v>
      </c>
      <c r="G10" s="8" t="n">
        <v>1</v>
      </c>
    </row>
    <row r="11">
      <c r="A11" s="12">
        <f>IF(Classes!B11="","",Classes!B11)</f>
        <v/>
      </c>
      <c r="B11" s="12">
        <f>IF(Classes!B11="","",IF(Classes!C11="","",Classes!C11))</f>
        <v/>
      </c>
      <c r="C11" s="8" t="n">
        <v>25</v>
      </c>
      <c r="D11" s="8" t="n">
        <v>5</v>
      </c>
      <c r="E11" s="15">
        <f>IF(OR(A11="",C11="",C11=0,D11=""),"",D11/C11)</f>
        <v/>
      </c>
      <c r="F11" s="8" t="n">
        <v>8</v>
      </c>
      <c r="G11" s="8" t="n">
        <v>2</v>
      </c>
    </row>
    <row r="12">
      <c r="A12" s="12">
        <f>IF(Classes!B12="","",Classes!B12)</f>
        <v/>
      </c>
      <c r="B12" s="12">
        <f>IF(Classes!B12="","",IF(Classes!C12="","",Classes!C12))</f>
        <v/>
      </c>
      <c r="C12" s="8" t="n">
        <v>8</v>
      </c>
      <c r="D12" s="8" t="n">
        <v>2</v>
      </c>
      <c r="E12" s="15">
        <f>IF(OR(A12="",C12="",C12=0,D12=""),"",D12/C12)</f>
        <v/>
      </c>
      <c r="F12" s="8" t="n">
        <v>3</v>
      </c>
      <c r="G12" s="8" t="n">
        <v>0</v>
      </c>
    </row>
    <row r="13">
      <c r="A13" s="12">
        <f>IF(Classes!B13="","",Classes!B13)</f>
        <v/>
      </c>
      <c r="B13" s="12">
        <f>IF(Classes!B13="","",IF(Classes!C13="","",Classes!C13))</f>
        <v/>
      </c>
      <c r="C13" s="8" t="n"/>
      <c r="D13" s="8" t="n"/>
      <c r="E13" s="15">
        <f>IF(OR(A13="",C13="",C13=0,D13=""),"",D13/C13)</f>
        <v/>
      </c>
      <c r="F13" s="8" t="n"/>
      <c r="G13" s="8" t="n"/>
    </row>
    <row r="14">
      <c r="A14" s="12">
        <f>IF(Classes!B14="","",Classes!B14)</f>
        <v/>
      </c>
      <c r="B14" s="12">
        <f>IF(Classes!B14="","",IF(Classes!C14="","",Classes!C14))</f>
        <v/>
      </c>
      <c r="C14" s="8" t="n"/>
      <c r="D14" s="8" t="n"/>
      <c r="E14" s="15">
        <f>IF(OR(A14="",C14="",C14=0,D14=""),"",D14/C14)</f>
        <v/>
      </c>
      <c r="F14" s="8" t="n"/>
      <c r="G14" s="8" t="n"/>
    </row>
    <row r="15">
      <c r="A15" s="12">
        <f>IF(Classes!B15="","",Classes!B15)</f>
        <v/>
      </c>
      <c r="B15" s="12">
        <f>IF(Classes!B15="","",IF(Classes!C15="","",Classes!C15))</f>
        <v/>
      </c>
      <c r="C15" s="8" t="n"/>
      <c r="D15" s="8" t="n"/>
      <c r="E15" s="15">
        <f>IF(OR(A15="",C15="",C15=0,D15=""),"",D15/C15)</f>
        <v/>
      </c>
      <c r="F15" s="8" t="n"/>
      <c r="G15" s="8" t="n"/>
    </row>
    <row r="16">
      <c r="A16" s="12">
        <f>IF(Classes!B16="","",Classes!B16)</f>
        <v/>
      </c>
      <c r="B16" s="12">
        <f>IF(Classes!B16="","",IF(Classes!C16="","",Classes!C16))</f>
        <v/>
      </c>
      <c r="C16" s="8" t="n"/>
      <c r="D16" s="8" t="n"/>
      <c r="E16" s="15">
        <f>IF(OR(A16="",C16="",C16=0,D16=""),"",D16/C16)</f>
        <v/>
      </c>
      <c r="F16" s="8" t="n"/>
      <c r="G16" s="8" t="n"/>
    </row>
    <row r="17">
      <c r="A17" s="12">
        <f>IF(Classes!B17="","",Classes!B17)</f>
        <v/>
      </c>
      <c r="B17" s="12">
        <f>IF(Classes!B17="","",IF(Classes!C17="","",Classes!C17))</f>
        <v/>
      </c>
      <c r="C17" s="8" t="n"/>
      <c r="D17" s="8" t="n"/>
      <c r="E17" s="15">
        <f>IF(OR(A17="",C17="",C17=0,D17=""),"",D17/C17)</f>
        <v/>
      </c>
      <c r="F17" s="8" t="n"/>
      <c r="G17" s="8" t="n"/>
    </row>
    <row r="18">
      <c r="A18" s="12">
        <f>IF(Classes!B18="","",Classes!B18)</f>
        <v/>
      </c>
      <c r="B18" s="12">
        <f>IF(Classes!B18="","",IF(Classes!C18="","",Classes!C18))</f>
        <v/>
      </c>
      <c r="C18" s="8" t="n"/>
      <c r="D18" s="8" t="n"/>
      <c r="E18" s="15">
        <f>IF(OR(A18="",C18="",C18=0,D18=""),"",D18/C18)</f>
        <v/>
      </c>
      <c r="F18" s="8" t="n"/>
      <c r="G18" s="8" t="n"/>
    </row>
    <row r="19">
      <c r="A19" s="12">
        <f>IF(Classes!B19="","",Classes!B19)</f>
        <v/>
      </c>
      <c r="B19" s="12">
        <f>IF(Classes!B19="","",IF(Classes!C19="","",Classes!C19))</f>
        <v/>
      </c>
      <c r="C19" s="8" t="n"/>
      <c r="D19" s="8" t="n"/>
      <c r="E19" s="15">
        <f>IF(OR(A19="",C19="",C19=0,D19=""),"",D19/C19)</f>
        <v/>
      </c>
      <c r="F19" s="8" t="n"/>
      <c r="G19" s="8" t="n"/>
    </row>
    <row r="20">
      <c r="A20" s="12">
        <f>IF(Classes!B20="","",Classes!B20)</f>
        <v/>
      </c>
      <c r="B20" s="12">
        <f>IF(Classes!B20="","",IF(Classes!C20="","",Classes!C20))</f>
        <v/>
      </c>
      <c r="C20" s="8" t="n"/>
      <c r="D20" s="8" t="n"/>
      <c r="E20" s="15">
        <f>IF(OR(A20="",C20="",C20=0,D20=""),"",D20/C20)</f>
        <v/>
      </c>
      <c r="F20" s="8" t="n"/>
      <c r="G20" s="8" t="n"/>
    </row>
    <row r="21">
      <c r="A21" s="12">
        <f>IF(Classes!B21="","",Classes!B21)</f>
        <v/>
      </c>
      <c r="B21" s="12">
        <f>IF(Classes!B21="","",IF(Classes!C21="","",Classes!C21))</f>
        <v/>
      </c>
      <c r="C21" s="8" t="n"/>
      <c r="D21" s="8" t="n"/>
      <c r="E21" s="15">
        <f>IF(OR(A21="",C21="",C21=0,D21=""),"",D21/C21)</f>
        <v/>
      </c>
      <c r="F21" s="8" t="n"/>
      <c r="G21" s="8" t="n"/>
    </row>
    <row r="22">
      <c r="A22" s="12">
        <f>IF(Classes!B22="","",Classes!B22)</f>
        <v/>
      </c>
      <c r="B22" s="12">
        <f>IF(Classes!B22="","",IF(Classes!C22="","",Classes!C22))</f>
        <v/>
      </c>
      <c r="C22" s="8" t="n"/>
      <c r="D22" s="8" t="n"/>
      <c r="E22" s="15">
        <f>IF(OR(A22="",C22="",C22=0,D22=""),"",D22/C22)</f>
        <v/>
      </c>
      <c r="F22" s="8" t="n"/>
      <c r="G22" s="8" t="n"/>
    </row>
    <row r="23">
      <c r="A23" s="12">
        <f>IF(Classes!B23="","",Classes!B23)</f>
        <v/>
      </c>
      <c r="B23" s="12">
        <f>IF(Classes!B23="","",IF(Classes!C23="","",Classes!C23))</f>
        <v/>
      </c>
      <c r="C23" s="8" t="n"/>
      <c r="D23" s="8" t="n"/>
      <c r="E23" s="15">
        <f>IF(OR(A23="",C23="",C23=0,D23=""),"",D23/C23)</f>
        <v/>
      </c>
      <c r="F23" s="8" t="n"/>
      <c r="G23" s="8" t="n"/>
    </row>
    <row r="24">
      <c r="A24" s="12">
        <f>IF(Classes!B24="","",Classes!B24)</f>
        <v/>
      </c>
      <c r="B24" s="12">
        <f>IF(Classes!B24="","",IF(Classes!C24="","",Classes!C24))</f>
        <v/>
      </c>
      <c r="C24" s="8" t="n"/>
      <c r="D24" s="8" t="n"/>
      <c r="E24" s="15">
        <f>IF(OR(A24="",C24="",C24=0,D24=""),"",D24/C24)</f>
        <v/>
      </c>
      <c r="F24" s="8" t="n"/>
      <c r="G24" s="8" t="n"/>
    </row>
    <row r="25">
      <c r="A25" s="12">
        <f>IF(Classes!B25="","",Classes!B25)</f>
        <v/>
      </c>
      <c r="B25" s="12">
        <f>IF(Classes!B25="","",IF(Classes!C25="","",Classes!C25))</f>
        <v/>
      </c>
      <c r="C25" s="8" t="n"/>
      <c r="D25" s="8" t="n"/>
      <c r="E25" s="15">
        <f>IF(OR(A25="",C25="",C25=0,D25=""),"",D25/C25)</f>
        <v/>
      </c>
      <c r="F25" s="8" t="n"/>
      <c r="G25" s="8" t="n"/>
    </row>
    <row r="26">
      <c r="A26" s="12">
        <f>IF(Classes!B26="","",Classes!B26)</f>
        <v/>
      </c>
      <c r="B26" s="12">
        <f>IF(Classes!B26="","",IF(Classes!C26="","",Classes!C26))</f>
        <v/>
      </c>
      <c r="C26" s="8" t="n"/>
      <c r="D26" s="8" t="n"/>
      <c r="E26" s="15">
        <f>IF(OR(A26="",C26="",C26=0,D26=""),"",D26/C26)</f>
        <v/>
      </c>
      <c r="F26" s="8" t="n"/>
      <c r="G26" s="8" t="n"/>
    </row>
    <row r="27">
      <c r="A27" s="12">
        <f>IF(Classes!B27="","",Classes!B27)</f>
        <v/>
      </c>
      <c r="B27" s="12">
        <f>IF(Classes!B27="","",IF(Classes!C27="","",Classes!C27))</f>
        <v/>
      </c>
      <c r="C27" s="8" t="n"/>
      <c r="D27" s="8" t="n"/>
      <c r="E27" s="15">
        <f>IF(OR(A27="",C27="",C27=0,D27=""),"",D27/C27)</f>
        <v/>
      </c>
      <c r="F27" s="8" t="n"/>
      <c r="G27" s="8" t="n"/>
    </row>
    <row r="28">
      <c r="A28" s="12">
        <f>IF(Classes!B28="","",Classes!B28)</f>
        <v/>
      </c>
      <c r="B28" s="12">
        <f>IF(Classes!B28="","",IF(Classes!C28="","",Classes!C28))</f>
        <v/>
      </c>
      <c r="C28" s="8" t="n"/>
      <c r="D28" s="8" t="n"/>
      <c r="E28" s="15">
        <f>IF(OR(A28="",C28="",C28=0,D28=""),"",D28/C28)</f>
        <v/>
      </c>
      <c r="F28" s="8" t="n"/>
      <c r="G28" s="8" t="n"/>
    </row>
    <row r="29">
      <c r="A29" s="12">
        <f>IF(Classes!B29="","",Classes!B29)</f>
        <v/>
      </c>
      <c r="B29" s="12">
        <f>IF(Classes!B29="","",IF(Classes!C29="","",Classes!C29))</f>
        <v/>
      </c>
      <c r="C29" s="8" t="n"/>
      <c r="D29" s="8" t="n"/>
      <c r="E29" s="15">
        <f>IF(OR(A29="",C29="",C29=0,D29=""),"",D29/C29)</f>
        <v/>
      </c>
      <c r="F29" s="8" t="n"/>
      <c r="G29" s="8" t="n"/>
    </row>
    <row r="30">
      <c r="A30" s="12">
        <f>IF(Classes!B30="","",Classes!B30)</f>
        <v/>
      </c>
      <c r="B30" s="12">
        <f>IF(Classes!B30="","",IF(Classes!C30="","",Classes!C30))</f>
        <v/>
      </c>
      <c r="C30" s="8" t="n"/>
      <c r="D30" s="8" t="n"/>
      <c r="E30" s="15">
        <f>IF(OR(A30="",C30="",C30=0,D30=""),"",D30/C30)</f>
        <v/>
      </c>
      <c r="F30" s="8" t="n"/>
      <c r="G30" s="8" t="n"/>
    </row>
    <row r="31">
      <c r="A31" s="12">
        <f>IF(Classes!B31="","",Classes!B31)</f>
        <v/>
      </c>
      <c r="B31" s="12">
        <f>IF(Classes!B31="","",IF(Classes!C31="","",Classes!C31))</f>
        <v/>
      </c>
      <c r="C31" s="8" t="n"/>
      <c r="D31" s="8" t="n"/>
      <c r="E31" s="15">
        <f>IF(OR(A31="",C31="",C31=0,D31=""),"",D31/C31)</f>
        <v/>
      </c>
      <c r="F31" s="8" t="n"/>
      <c r="G31" s="8" t="n"/>
    </row>
    <row r="32">
      <c r="A32" s="12">
        <f>IF(Classes!B32="","",Classes!B32)</f>
        <v/>
      </c>
      <c r="B32" s="12">
        <f>IF(Classes!B32="","",IF(Classes!C32="","",Classes!C32))</f>
        <v/>
      </c>
      <c r="C32" s="8" t="n"/>
      <c r="D32" s="8" t="n"/>
      <c r="E32" s="15">
        <f>IF(OR(A32="",C32="",C32=0,D32=""),"",D32/C32)</f>
        <v/>
      </c>
      <c r="F32" s="8" t="n"/>
      <c r="G32" s="8" t="n"/>
    </row>
    <row r="33">
      <c r="A33" s="12">
        <f>IF(Classes!B33="","",Classes!B33)</f>
        <v/>
      </c>
      <c r="B33" s="12">
        <f>IF(Classes!B33="","",IF(Classes!C33="","",Classes!C33))</f>
        <v/>
      </c>
      <c r="C33" s="8" t="n"/>
      <c r="D33" s="8" t="n"/>
      <c r="E33" s="15">
        <f>IF(OR(A33="",C33="",C33=0,D33=""),"",D33/C33)</f>
        <v/>
      </c>
      <c r="F33" s="8" t="n"/>
      <c r="G33" s="8" t="n"/>
    </row>
    <row r="34">
      <c r="A34" s="12">
        <f>IF(Classes!B34="","",Classes!B34)</f>
        <v/>
      </c>
      <c r="B34" s="12">
        <f>IF(Classes!B34="","",IF(Classes!C34="","",Classes!C34))</f>
        <v/>
      </c>
      <c r="C34" s="8" t="n"/>
      <c r="D34" s="8" t="n"/>
      <c r="E34" s="15">
        <f>IF(OR(A34="",C34="",C34=0,D34=""),"",D34/C34)</f>
        <v/>
      </c>
      <c r="F34" s="8" t="n"/>
      <c r="G34" s="8" t="n"/>
    </row>
    <row r="35">
      <c r="A35" s="12">
        <f>IF(Classes!B35="","",Classes!B35)</f>
        <v/>
      </c>
      <c r="B35" s="12">
        <f>IF(Classes!B35="","",IF(Classes!C35="","",Classes!C35))</f>
        <v/>
      </c>
      <c r="C35" s="8" t="n"/>
      <c r="D35" s="8" t="n"/>
      <c r="E35" s="15">
        <f>IF(OR(A35="",C35="",C35=0,D35=""),"",D35/C35)</f>
        <v/>
      </c>
      <c r="F35" s="8" t="n"/>
      <c r="G35" s="8" t="n"/>
    </row>
    <row r="36">
      <c r="A36" s="12">
        <f>IF(Classes!B36="","",Classes!B36)</f>
        <v/>
      </c>
      <c r="B36" s="12">
        <f>IF(Classes!B36="","",IF(Classes!C36="","",Classes!C36))</f>
        <v/>
      </c>
      <c r="C36" s="8" t="n"/>
      <c r="D36" s="8" t="n"/>
      <c r="E36" s="15">
        <f>IF(OR(A36="",C36="",C36=0,D36=""),"",D36/C36)</f>
        <v/>
      </c>
      <c r="F36" s="8" t="n"/>
      <c r="G36" s="8" t="n"/>
    </row>
    <row r="37">
      <c r="A37" s="12">
        <f>IF(Classes!B37="","",Classes!B37)</f>
        <v/>
      </c>
      <c r="B37" s="12">
        <f>IF(Classes!B37="","",IF(Classes!C37="","",Classes!C37))</f>
        <v/>
      </c>
      <c r="C37" s="8" t="n"/>
      <c r="D37" s="8" t="n"/>
      <c r="E37" s="15">
        <f>IF(OR(A37="",C37="",C37=0,D37=""),"",D37/C37)</f>
        <v/>
      </c>
      <c r="F37" s="8" t="n"/>
      <c r="G37" s="8" t="n"/>
    </row>
    <row r="38">
      <c r="A38" s="12">
        <f>IF(Classes!B38="","",Classes!B38)</f>
        <v/>
      </c>
      <c r="B38" s="12">
        <f>IF(Classes!B38="","",IF(Classes!C38="","",Classes!C38))</f>
        <v/>
      </c>
      <c r="C38" s="8" t="n"/>
      <c r="D38" s="8" t="n"/>
      <c r="E38" s="15">
        <f>IF(OR(A38="",C38="",C38=0,D38=""),"",D38/C38)</f>
        <v/>
      </c>
      <c r="F38" s="8" t="n"/>
      <c r="G38" s="8" t="n"/>
    </row>
    <row r="39">
      <c r="A39" s="12">
        <f>IF(Classes!B39="","",Classes!B39)</f>
        <v/>
      </c>
      <c r="B39" s="12">
        <f>IF(Classes!B39="","",IF(Classes!C39="","",Classes!C39))</f>
        <v/>
      </c>
      <c r="C39" s="8" t="n"/>
      <c r="D39" s="8" t="n"/>
      <c r="E39" s="15">
        <f>IF(OR(A39="",C39="",C39=0,D39=""),"",D39/C39)</f>
        <v/>
      </c>
      <c r="F39" s="8" t="n"/>
      <c r="G39" s="8" t="n"/>
    </row>
    <row r="40">
      <c r="A40" s="12">
        <f>IF(Classes!B40="","",Classes!B40)</f>
        <v/>
      </c>
      <c r="B40" s="12">
        <f>IF(Classes!B40="","",IF(Classes!C40="","",Classes!C40))</f>
        <v/>
      </c>
      <c r="C40" s="8" t="n"/>
      <c r="D40" s="8" t="n"/>
      <c r="E40" s="15">
        <f>IF(OR(A40="",C40="",C40=0,D40=""),"",D40/C40)</f>
        <v/>
      </c>
      <c r="F40" s="8" t="n"/>
      <c r="G40" s="8" t="n"/>
    </row>
    <row r="41">
      <c r="A41" s="12">
        <f>IF(Classes!B41="","",Classes!B41)</f>
        <v/>
      </c>
      <c r="B41" s="12">
        <f>IF(Classes!B41="","",IF(Classes!C41="","",Classes!C41))</f>
        <v/>
      </c>
      <c r="C41" s="8" t="n"/>
      <c r="D41" s="8" t="n"/>
      <c r="E41" s="15">
        <f>IF(OR(A41="",C41="",C41=0,D41=""),"",D41/C41)</f>
        <v/>
      </c>
      <c r="F41" s="8" t="n"/>
      <c r="G41" s="8" t="n"/>
    </row>
    <row r="42">
      <c r="A42" s="12">
        <f>IF(Classes!B42="","",Classes!B42)</f>
        <v/>
      </c>
      <c r="B42" s="12">
        <f>IF(Classes!B42="","",IF(Classes!C42="","",Classes!C42))</f>
        <v/>
      </c>
      <c r="C42" s="8" t="n"/>
      <c r="D42" s="8" t="n"/>
      <c r="E42" s="15">
        <f>IF(OR(A42="",C42="",C42=0,D42=""),"",D42/C42)</f>
        <v/>
      </c>
      <c r="F42" s="8" t="n"/>
      <c r="G42" s="8" t="n"/>
    </row>
    <row r="43">
      <c r="A43" s="12">
        <f>IF(Classes!B43="","",Classes!B43)</f>
        <v/>
      </c>
      <c r="B43" s="12">
        <f>IF(Classes!B43="","",IF(Classes!C43="","",Classes!C43))</f>
        <v/>
      </c>
      <c r="C43" s="8" t="n"/>
      <c r="D43" s="8" t="n"/>
      <c r="E43" s="15">
        <f>IF(OR(A43="",C43="",C43=0,D43=""),"",D43/C43)</f>
        <v/>
      </c>
      <c r="F43" s="8" t="n"/>
      <c r="G43" s="8" t="n"/>
    </row>
    <row r="44">
      <c r="A44" s="12">
        <f>IF(Classes!B44="","",Classes!B44)</f>
        <v/>
      </c>
      <c r="B44" s="12">
        <f>IF(Classes!B44="","",IF(Classes!C44="","",Classes!C44))</f>
        <v/>
      </c>
      <c r="C44" s="8" t="n"/>
      <c r="D44" s="8" t="n"/>
      <c r="E44" s="15">
        <f>IF(OR(A44="",C44="",C44=0,D44=""),"",D44/C44)</f>
        <v/>
      </c>
      <c r="F44" s="8" t="n"/>
      <c r="G44" s="8" t="n"/>
    </row>
    <row r="45">
      <c r="A45" s="12">
        <f>IF(Classes!B45="","",Classes!B45)</f>
        <v/>
      </c>
      <c r="B45" s="12">
        <f>IF(Classes!B45="","",IF(Classes!C45="","",Classes!C45))</f>
        <v/>
      </c>
      <c r="C45" s="8" t="n"/>
      <c r="D45" s="8" t="n"/>
      <c r="E45" s="15">
        <f>IF(OR(A45="",C45="",C45=0,D45=""),"",D45/C45)</f>
        <v/>
      </c>
      <c r="F45" s="8" t="n"/>
      <c r="G45" s="8" t="n"/>
    </row>
  </sheetData>
  <sheetProtection selectLockedCells="0" selectUnlockedCells="0" sheet="1" objects="0" insertRows="1" insertHyperlinks="1" autoFilter="0" scenarios="0" formatColumns="0" deleteColumns="1" insertColumns="1" pivotTables="1" deleteRows="1" formatCells="1" formatRows="0" sort="0"/>
  <mergeCells count="2">
    <mergeCell ref="A3:G3"/>
    <mergeCell ref="A2:G2"/>
  </mergeCells>
  <dataValidations count="3">
    <dataValidation sqref="C6:C45" showDropDown="0" showInputMessage="1" showErrorMessage="1" allowBlank="1" errorTitle="Check this entry" error="Type a whole number from 0 to 5000." promptTitle="Families notified" prompt="A count." type="whole" errorStyle="stop" operator="between">
      <formula1>0</formula1>
      <formula2>5000</formula2>
    </dataValidation>
    <dataValidation sqref="D6:D45" showDropDown="0" showInputMessage="1" showErrorMessage="1" allowBlank="1" errorTitle="Check this entry" error="Replies cannot be more than families notified." promptTitle="Reply slips" prompt="A count. It cannot be larger than families notified." type="custom" errorStyle="stop">
      <formula1>OR($C6="",D6&lt;=$C6)</formula1>
    </dataValidation>
    <dataValidation sqref="F6:G45" showDropDown="0" showInputMessage="1" showErrorMessage="1" allowBlank="1" errorTitle="Check this entry" error="Type a whole number from 0 to 5000." promptTitle="Count" prompt="A count." type="whole" errorStyle="stop" operator="between">
      <formula1>0</formula1>
      <formula2>5000</formula2>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9.xml><?xml version="1.0" encoding="utf-8"?>
<worksheet xmlns="http://schemas.openxmlformats.org/spreadsheetml/2006/main">
  <sheetPr>
    <tabColor rgb="002B2D42"/>
    <outlinePr summaryBelow="1" summaryRight="1"/>
    <pageSetUpPr fitToPage="1"/>
  </sheetPr>
  <dimension ref="A1:F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s>
  <sheetData>
    <row r="1">
      <c r="A1" s="5" t="inlineStr">
        <is>
          <t>School summary by grade band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Follows the Assessment Pack's administrator impact summary. Percentages for groups smaller than the suppression threshold on Setup show as n&lt;10 (or your number).</t>
        </is>
      </c>
    </row>
    <row r="4">
      <c r="A4" s="11" t="inlineStr">
        <is>
          <t>Measure</t>
        </is>
      </c>
      <c r="B4" s="11" t="inlineStr">
        <is>
          <t>Gr K-2</t>
        </is>
      </c>
      <c r="C4" s="11" t="inlineStr">
        <is>
          <t>Gr 3-5</t>
        </is>
      </c>
      <c r="D4" s="11" t="inlineStr">
        <is>
          <t>Gr 6-8</t>
        </is>
      </c>
      <c r="E4" s="11" t="inlineStr">
        <is>
          <t>Gr 9-12</t>
        </is>
      </c>
      <c r="F4" s="11" t="inlineStr">
        <is>
          <t>All bands</t>
        </is>
      </c>
    </row>
    <row r="5">
      <c r="A5" s="19" t="inlineStr">
        <is>
          <t>1. Reach and lessons</t>
        </is>
      </c>
      <c r="B5" s="20" t="n"/>
      <c r="C5" s="20" t="n"/>
      <c r="D5" s="20" t="n"/>
      <c r="E5" s="20" t="n"/>
      <c r="F5" s="20" t="n"/>
    </row>
    <row r="6">
      <c r="A6" s="7" t="inlineStr">
        <is>
          <t>Classes or groups</t>
        </is>
      </c>
      <c r="B6" s="21">
        <f>COUNTIF(Classes!$C$6:$C$45,B$4)</f>
        <v/>
      </c>
      <c r="C6" s="21">
        <f>COUNTIF(Classes!$C$6:$C$45,C$4)</f>
        <v/>
      </c>
      <c r="D6" s="21">
        <f>COUNTIF(Classes!$C$6:$C$45,D$4)</f>
        <v/>
      </c>
      <c r="E6" s="21">
        <f>COUNTIF(Classes!$C$6:$C$45,E$4)</f>
        <v/>
      </c>
      <c r="F6" s="21">
        <f>SUM(B6:E6)</f>
        <v/>
      </c>
    </row>
    <row r="7">
      <c r="A7" s="7" t="inlineStr">
        <is>
          <t>Students enrolled</t>
        </is>
      </c>
      <c r="B7" s="21">
        <f>SUMIF(Classes!$C$6:$C$45,B$4,Classes!$D$6:$D$45)</f>
        <v/>
      </c>
      <c r="C7" s="21">
        <f>SUMIF(Classes!$C$6:$C$45,C$4,Classes!$D$6:$D$45)</f>
        <v/>
      </c>
      <c r="D7" s="21">
        <f>SUMIF(Classes!$C$6:$C$45,D$4,Classes!$D$6:$D$45)</f>
        <v/>
      </c>
      <c r="E7" s="21">
        <f>SUMIF(Classes!$C$6:$C$45,E$4,Classes!$D$6:$D$45)</f>
        <v/>
      </c>
      <c r="F7" s="21">
        <f>SUM(B7:E7)</f>
        <v/>
      </c>
    </row>
    <row r="8">
      <c r="A8" s="7" t="inlineStr">
        <is>
          <t>Core lessons delivered, average per class (of 10)</t>
        </is>
      </c>
      <c r="B8" s="22">
        <f>IF(B6=0,"",SUMIF(Lessons!$B$6:$B$45,B$4,Lessons!$Q$6:$Q$45)/B6)</f>
        <v/>
      </c>
      <c r="C8" s="22">
        <f>IF(C6=0,"",SUMIF(Lessons!$B$6:$B$45,C$4,Lessons!$Q$6:$Q$45)/C6)</f>
        <v/>
      </c>
      <c r="D8" s="22">
        <f>IF(D6=0,"",SUMIF(Lessons!$B$6:$B$45,D$4,Lessons!$Q$6:$Q$45)/D6)</f>
        <v/>
      </c>
      <c r="E8" s="22">
        <f>IF(E6=0,"",SUMIF(Lessons!$B$6:$B$45,E$4,Lessons!$Q$6:$Q$45)/E6)</f>
        <v/>
      </c>
      <c r="F8" s="22">
        <f>IF(F6=0,"",SUM(Lessons!$Q$6:$Q$45)/F6)</f>
        <v/>
      </c>
    </row>
    <row r="9">
      <c r="A9" s="7" t="inlineStr">
        <is>
          <t>Core lesson completion</t>
        </is>
      </c>
      <c r="B9" s="23">
        <f>IF(B6=0,"",SUMIF(Lessons!$B$6:$B$45,B$4,Lessons!$Q$6:$Q$45)/(10*B6))</f>
        <v/>
      </c>
      <c r="C9" s="23">
        <f>IF(C6=0,"",SUMIF(Lessons!$B$6:$B$45,C$4,Lessons!$Q$6:$Q$45)/(10*C6))</f>
        <v/>
      </c>
      <c r="D9" s="23">
        <f>IF(D6=0,"",SUMIF(Lessons!$B$6:$B$45,D$4,Lessons!$Q$6:$Q$45)/(10*D6))</f>
        <v/>
      </c>
      <c r="E9" s="23">
        <f>IF(E6=0,"",SUMIF(Lessons!$B$6:$B$45,E$4,Lessons!$Q$6:$Q$45)/(10*E6))</f>
        <v/>
      </c>
      <c r="F9" s="23">
        <f>IF(F6=0,"",SUM(Lessons!$Q$6:$Q$45)/(10*F6))</f>
        <v/>
      </c>
    </row>
    <row r="10">
      <c r="A10" s="7" t="inlineStr">
        <is>
          <t>Plus lessons delivered (total, grades 6-12)</t>
        </is>
      </c>
      <c r="B10" s="21">
        <f>SUMIF(Lessons!$B$6:$B$45,B$4,Lessons!$T$6:$T$45)</f>
        <v/>
      </c>
      <c r="C10" s="21">
        <f>SUMIF(Lessons!$B$6:$B$45,C$4,Lessons!$T$6:$T$45)</f>
        <v/>
      </c>
      <c r="D10" s="21">
        <f>SUMIF(Lessons!$B$6:$B$45,D$4,Lessons!$T$6:$T$45)</f>
        <v/>
      </c>
      <c r="E10" s="21">
        <f>SUMIF(Lessons!$B$6:$B$45,E$4,Lessons!$T$6:$T$45)</f>
        <v/>
      </c>
      <c r="F10" s="21">
        <f>SUM(B10:E10)</f>
        <v/>
      </c>
    </row>
    <row r="11">
      <c r="A11" s="19" t="inlineStr">
        <is>
          <t>2. Help Ladder practice</t>
        </is>
      </c>
      <c r="B11" s="20" t="n"/>
      <c r="C11" s="20" t="n"/>
      <c r="D11" s="20" t="n"/>
      <c r="E11" s="20" t="n"/>
      <c r="F11" s="20" t="n"/>
    </row>
    <row r="12">
      <c r="A12" s="7" t="inlineStr">
        <is>
          <t>Help Ladder practice sessions (total)</t>
        </is>
      </c>
      <c r="B12" s="21">
        <f>SUMIF(HelpLadder!$B$6:$B$45,B$4,HelpLadder!$D$6:$D$45)</f>
        <v/>
      </c>
      <c r="C12" s="21">
        <f>SUMIF(HelpLadder!$B$6:$B$45,C$4,HelpLadder!$D$6:$D$45)</f>
        <v/>
      </c>
      <c r="D12" s="21">
        <f>SUMIF(HelpLadder!$B$6:$B$45,D$4,HelpLadder!$D$6:$D$45)</f>
        <v/>
      </c>
      <c r="E12" s="21">
        <f>SUMIF(HelpLadder!$B$6:$B$45,E$4,HelpLadder!$D$6:$D$45)</f>
        <v/>
      </c>
      <c r="F12" s="21">
        <f>SUM(B12:E12)</f>
        <v/>
      </c>
    </row>
    <row r="13">
      <c r="A13" s="7" t="inlineStr">
        <is>
          <t>Students who practiced the first sentence aloud (% of enrolled)</t>
        </is>
      </c>
      <c r="B13" s="23">
        <f>IF(B7=0,"",SUMIF(HelpLadder!$B$6:$B$45,B$4,HelpLadder!$E$6:$E$45)/B7)</f>
        <v/>
      </c>
      <c r="C13" s="23">
        <f>IF(C7=0,"",SUMIF(HelpLadder!$B$6:$B$45,C$4,HelpLadder!$E$6:$E$45)/C7)</f>
        <v/>
      </c>
      <c r="D13" s="23">
        <f>IF(D7=0,"",SUMIF(HelpLadder!$B$6:$B$45,D$4,HelpLadder!$E$6:$E$45)/D7)</f>
        <v/>
      </c>
      <c r="E13" s="23">
        <f>IF(E7=0,"",SUMIF(HelpLadder!$B$6:$B$45,E$4,HelpLadder!$E$6:$E$45)/E7)</f>
        <v/>
      </c>
      <c r="F13" s="23">
        <f>IF(F7=0,"",SUM(HelpLadder!$E$6:$E$45)/F7)</f>
        <v/>
      </c>
    </row>
    <row r="14">
      <c r="A14" s="19" t="inlineStr">
        <is>
          <t>3. Tell-Readiness (core items, class totals)</t>
        </is>
      </c>
      <c r="B14" s="20" t="n"/>
      <c r="C14" s="20" t="n"/>
      <c r="D14" s="20" t="n"/>
      <c r="E14" s="20" t="n"/>
      <c r="F14" s="20" t="n"/>
    </row>
    <row r="15">
      <c r="A15" s="7" t="inlineStr">
        <is>
          <t>Pre survey: students who answered</t>
        </is>
      </c>
      <c r="B15" s="21">
        <f>SUMIF(Surveys!$B$6:$B$45,B$4,Surveys!$D$6:$D$45)</f>
        <v/>
      </c>
      <c r="C15" s="21">
        <f>SUMIF(Surveys!$B$6:$B$45,C$4,Surveys!$D$6:$D$45)</f>
        <v/>
      </c>
      <c r="D15" s="21">
        <f>SUMIF(Surveys!$B$6:$B$45,D$4,Surveys!$D$6:$D$45)</f>
        <v/>
      </c>
      <c r="E15" s="21">
        <f>SUMIF(Surveys!$B$6:$B$45,E$4,Surveys!$D$6:$D$45)</f>
        <v/>
      </c>
      <c r="F15" s="21">
        <f>SUM(B15:E15)</f>
        <v/>
      </c>
    </row>
    <row r="16">
      <c r="A16" s="7" t="inlineStr">
        <is>
          <t>Post survey: students who answered</t>
        </is>
      </c>
      <c r="B16" s="21">
        <f>SUMIF(Surveys!$B$6:$B$45,B$4,Surveys!$I$6:$I$45)</f>
        <v/>
      </c>
      <c r="C16" s="21">
        <f>SUMIF(Surveys!$B$6:$B$45,C$4,Surveys!$I$6:$I$45)</f>
        <v/>
      </c>
      <c r="D16" s="21">
        <f>SUMIF(Surveys!$B$6:$B$45,D$4,Surveys!$I$6:$I$45)</f>
        <v/>
      </c>
      <c r="E16" s="21">
        <f>SUMIF(Surveys!$B$6:$B$45,E$4,Surveys!$I$6:$I$45)</f>
        <v/>
      </c>
      <c r="F16" s="21">
        <f>SUM(B16:E16)</f>
        <v/>
      </c>
    </row>
    <row r="17">
      <c r="A17" s="7" t="inlineStr">
        <is>
          <t>Tell-Readiness before</t>
        </is>
      </c>
      <c r="B17" s="23">
        <f>IF(B15=0,"",IF(B15&lt;Setup!$B$6,"n&lt;"&amp;Setup!$B$6,(SUMIF(Surveys!$B$6:$B$45,B$4,Surveys!$E$6:$E$45)+SUMIF(Surveys!$B$6:$B$45,B$4,Surveys!$F$6:$F$45)+SUMIF(Surveys!$B$6:$B$45,B$4,Surveys!$G$6:$G$45))/(3*B15)))</f>
        <v/>
      </c>
      <c r="C17" s="23">
        <f>IF(C15=0,"",IF(C15&lt;Setup!$B$6,"n&lt;"&amp;Setup!$B$6,(SUMIF(Surveys!$B$6:$B$45,C$4,Surveys!$E$6:$E$45)+SUMIF(Surveys!$B$6:$B$45,C$4,Surveys!$F$6:$F$45)+SUMIF(Surveys!$B$6:$B$45,C$4,Surveys!$G$6:$G$45))/(3*C15)))</f>
        <v/>
      </c>
      <c r="D17" s="23">
        <f>IF(D15=0,"",IF(D15&lt;Setup!$B$6,"n&lt;"&amp;Setup!$B$6,(SUMIF(Surveys!$B$6:$B$45,D$4,Surveys!$E$6:$E$45)+SUMIF(Surveys!$B$6:$B$45,D$4,Surveys!$F$6:$F$45)+SUMIF(Surveys!$B$6:$B$45,D$4,Surveys!$G$6:$G$45))/(3*D15)))</f>
        <v/>
      </c>
      <c r="E17" s="23">
        <f>IF(E15=0,"",IF(E15&lt;Setup!$B$6,"n&lt;"&amp;Setup!$B$6,(SUMIF(Surveys!$B$6:$B$45,E$4,Surveys!$E$6:$E$45)+SUMIF(Surveys!$B$6:$B$45,E$4,Surveys!$F$6:$F$45)+SUMIF(Surveys!$B$6:$B$45,E$4,Surveys!$G$6:$G$45))/(3*E15)))</f>
        <v/>
      </c>
      <c r="F17" s="23">
        <f>IF(F15=0,"",IF(F15&lt;Setup!$B$6,"n&lt;"&amp;Setup!$B$6,(SUM(Surveys!$E$6:$E$45)+SUM(Surveys!$F$6:$F$45)+SUM(Surveys!$G$6:$G$45))/(3*F15)))</f>
        <v/>
      </c>
    </row>
    <row r="18">
      <c r="A18" s="7" t="inlineStr">
        <is>
          <t>Tell-Readiness after</t>
        </is>
      </c>
      <c r="B18" s="23">
        <f>IF(B16=0,"",IF(B16&lt;Setup!$B$6,"n&lt;"&amp;Setup!$B$6,(SUMIF(Surveys!$B$6:$B$45,B$4,Surveys!$J$6:$J$45)+SUMIF(Surveys!$B$6:$B$45,B$4,Surveys!$K$6:$K$45)+SUMIF(Surveys!$B$6:$B$45,B$4,Surveys!$L$6:$L$45))/(3*B16)))</f>
        <v/>
      </c>
      <c r="C18" s="23">
        <f>IF(C16=0,"",IF(C16&lt;Setup!$B$6,"n&lt;"&amp;Setup!$B$6,(SUMIF(Surveys!$B$6:$B$45,C$4,Surveys!$J$6:$J$45)+SUMIF(Surveys!$B$6:$B$45,C$4,Surveys!$K$6:$K$45)+SUMIF(Surveys!$B$6:$B$45,C$4,Surveys!$L$6:$L$45))/(3*C16)))</f>
        <v/>
      </c>
      <c r="D18" s="23">
        <f>IF(D16=0,"",IF(D16&lt;Setup!$B$6,"n&lt;"&amp;Setup!$B$6,(SUMIF(Surveys!$B$6:$B$45,D$4,Surveys!$J$6:$J$45)+SUMIF(Surveys!$B$6:$B$45,D$4,Surveys!$K$6:$K$45)+SUMIF(Surveys!$B$6:$B$45,D$4,Surveys!$L$6:$L$45))/(3*D16)))</f>
        <v/>
      </c>
      <c r="E18" s="23">
        <f>IF(E16=0,"",IF(E16&lt;Setup!$B$6,"n&lt;"&amp;Setup!$B$6,(SUMIF(Surveys!$B$6:$B$45,E$4,Surveys!$J$6:$J$45)+SUMIF(Surveys!$B$6:$B$45,E$4,Surveys!$K$6:$K$45)+SUMIF(Surveys!$B$6:$B$45,E$4,Surveys!$L$6:$L$45))/(3*E16)))</f>
        <v/>
      </c>
      <c r="F18" s="23">
        <f>IF(F16=0,"",IF(F16&lt;Setup!$B$6,"n&lt;"&amp;Setup!$B$6,(SUM(Surveys!$J$6:$J$45)+SUM(Surveys!$K$6:$K$45)+SUM(Surveys!$L$6:$L$45))/(3*F16)))</f>
        <v/>
      </c>
    </row>
    <row r="19">
      <c r="A19" s="7" t="inlineStr">
        <is>
          <t>Change (percentage points)</t>
        </is>
      </c>
      <c r="B19" s="24">
        <f>IF(AND(ISNUMBER(B17),ISNUMBER(B18)),(B18-B17)*100,"")</f>
        <v/>
      </c>
      <c r="C19" s="24">
        <f>IF(AND(ISNUMBER(C17),ISNUMBER(C18)),(C18-C17)*100,"")</f>
        <v/>
      </c>
      <c r="D19" s="24">
        <f>IF(AND(ISNUMBER(D17),ISNUMBER(D18)),(D18-D17)*100,"")</f>
        <v/>
      </c>
      <c r="E19" s="24">
        <f>IF(AND(ISNUMBER(E17),ISNUMBER(E18)),(E18-E17)*100,"")</f>
        <v/>
      </c>
      <c r="F19" s="24">
        <f>IF(AND(ISNUMBER(F17),ISNUMBER(F18)),(F18-F17)*100,"")</f>
        <v/>
      </c>
    </row>
    <row r="20">
      <c r="A20" s="7" t="inlineStr">
        <is>
          <t>Confident to tell, before</t>
        </is>
      </c>
      <c r="B20" s="23">
        <f>IF(B15=0,"",IF(B15&lt;Setup!$B$6,"n&lt;"&amp;Setup!$B$6,SUMIF(Surveys!$B$6:$B$45,B$4,Surveys!$H$6:$H$45)/B15))</f>
        <v/>
      </c>
      <c r="C20" s="23">
        <f>IF(C15=0,"",IF(C15&lt;Setup!$B$6,"n&lt;"&amp;Setup!$B$6,SUMIF(Surveys!$B$6:$B$45,C$4,Surveys!$H$6:$H$45)/C15))</f>
        <v/>
      </c>
      <c r="D20" s="23">
        <f>IF(D15=0,"",IF(D15&lt;Setup!$B$6,"n&lt;"&amp;Setup!$B$6,SUMIF(Surveys!$B$6:$B$45,D$4,Surveys!$H$6:$H$45)/D15))</f>
        <v/>
      </c>
      <c r="E20" s="23">
        <f>IF(E15=0,"",IF(E15&lt;Setup!$B$6,"n&lt;"&amp;Setup!$B$6,SUMIF(Surveys!$B$6:$B$45,E$4,Surveys!$H$6:$H$45)/E15))</f>
        <v/>
      </c>
      <c r="F20" s="23">
        <f>IF(F15=0,"",IF(F15&lt;Setup!$B$6,"n&lt;"&amp;Setup!$B$6,SUM(Surveys!$H$6:$H$45)/F15))</f>
        <v/>
      </c>
    </row>
    <row r="21">
      <c r="A21" s="7" t="inlineStr">
        <is>
          <t>Confident to tell, after</t>
        </is>
      </c>
      <c r="B21" s="23">
        <f>IF(B16=0,"",IF(B16&lt;Setup!$B$6,"n&lt;"&amp;Setup!$B$6,SUMIF(Surveys!$B$6:$B$45,B$4,Surveys!$M$6:$M$45)/B16))</f>
        <v/>
      </c>
      <c r="C21" s="23">
        <f>IF(C16=0,"",IF(C16&lt;Setup!$B$6,"n&lt;"&amp;Setup!$B$6,SUMIF(Surveys!$B$6:$B$45,C$4,Surveys!$M$6:$M$45)/C16))</f>
        <v/>
      </c>
      <c r="D21" s="23">
        <f>IF(D16=0,"",IF(D16&lt;Setup!$B$6,"n&lt;"&amp;Setup!$B$6,SUMIF(Surveys!$B$6:$B$45,D$4,Surveys!$M$6:$M$45)/D16))</f>
        <v/>
      </c>
      <c r="E21" s="23">
        <f>IF(E16=0,"",IF(E16&lt;Setup!$B$6,"n&lt;"&amp;Setup!$B$6,SUMIF(Surveys!$B$6:$B$45,E$4,Surveys!$M$6:$M$45)/E16))</f>
        <v/>
      </c>
      <c r="F21" s="23">
        <f>IF(F16=0,"",IF(F16&lt;Setup!$B$6,"n&lt;"&amp;Setup!$B$6,SUM(Surveys!$M$6:$M$45)/F16))</f>
        <v/>
      </c>
    </row>
    <row r="22">
      <c r="A22" s="7" t="inlineStr">
        <is>
          <t>Matched pre/post pairs</t>
        </is>
      </c>
      <c r="B22" s="21">
        <f>SUMIF(Surveys!$B$6:$B$45,B$4,Surveys!$N$6:$N$45)</f>
        <v/>
      </c>
      <c r="C22" s="21">
        <f>SUMIF(Surveys!$B$6:$B$45,C$4,Surveys!$N$6:$N$45)</f>
        <v/>
      </c>
      <c r="D22" s="21">
        <f>SUMIF(Surveys!$B$6:$B$45,D$4,Surveys!$N$6:$N$45)</f>
        <v/>
      </c>
      <c r="E22" s="21">
        <f>SUMIF(Surveys!$B$6:$B$45,E$4,Surveys!$N$6:$N$45)</f>
        <v/>
      </c>
      <c r="F22" s="21">
        <f>SUM(B22:E22)</f>
        <v/>
      </c>
    </row>
    <row r="23">
      <c r="A23" s="19" t="inlineStr">
        <is>
          <t>4. Sensitive lessons and support (counts)</t>
        </is>
      </c>
      <c r="B23" s="20" t="n"/>
      <c r="C23" s="20" t="n"/>
      <c r="D23" s="20" t="n"/>
      <c r="E23" s="20" t="n"/>
      <c r="F23" s="20" t="n"/>
    </row>
    <row r="24">
      <c r="A24" s="7" t="inlineStr">
        <is>
          <t>Sensitive lessons taught (class sessions)</t>
        </is>
      </c>
      <c r="B24" s="21">
        <f>COUNTIF(Sensitive!$B$6:$B$125,B$4)</f>
        <v/>
      </c>
      <c r="C24" s="21">
        <f>COUNTIF(Sensitive!$B$6:$B$125,C$4)</f>
        <v/>
      </c>
      <c r="D24" s="21">
        <f>COUNTIF(Sensitive!$B$6:$B$125,D$4)</f>
        <v/>
      </c>
      <c r="E24" s="21">
        <f>COUNTIF(Sensitive!$B$6:$B$125,E$4)</f>
        <v/>
      </c>
      <c r="F24" s="21">
        <f>SUM(B24:E24)</f>
        <v/>
      </c>
    </row>
    <row r="25">
      <c r="A25" s="7" t="inlineStr">
        <is>
          <t>Opt-out requests (total)</t>
        </is>
      </c>
      <c r="B25" s="21">
        <f>SUMIFS(Sensitive!$K$6:$K$125,Sensitive!$B$6:$B$125,B$4)</f>
        <v/>
      </c>
      <c r="C25" s="21">
        <f>SUMIFS(Sensitive!$K$6:$K$125,Sensitive!$B$6:$B$125,C$4)</f>
        <v/>
      </c>
      <c r="D25" s="21">
        <f>SUMIFS(Sensitive!$K$6:$K$125,Sensitive!$B$6:$B$125,D$4)</f>
        <v/>
      </c>
      <c r="E25" s="21">
        <f>SUMIFS(Sensitive!$K$6:$K$125,Sensitive!$B$6:$B$125,E$4)</f>
        <v/>
      </c>
      <c r="F25" s="21">
        <f>SUM(B25:E25)</f>
        <v/>
      </c>
    </row>
    <row r="26">
      <c r="A26" s="7" t="inlineStr">
        <is>
          <t>Opt-out requests per student in those lessons</t>
        </is>
      </c>
      <c r="B26" s="23">
        <f>IF(SUMIFS(Sensitive!$J$6:$J$125,Sensitive!$B$6:$B$125,B$4)=0,"",B25/SUMIFS(Sensitive!$J$6:$J$125,Sensitive!$B$6:$B$125,B$4))</f>
        <v/>
      </c>
      <c r="C26" s="23">
        <f>IF(SUMIFS(Sensitive!$J$6:$J$125,Sensitive!$B$6:$B$125,C$4)=0,"",C25/SUMIFS(Sensitive!$J$6:$J$125,Sensitive!$B$6:$B$125,C$4))</f>
        <v/>
      </c>
      <c r="D26" s="23">
        <f>IF(SUMIFS(Sensitive!$J$6:$J$125,Sensitive!$B$6:$B$125,D$4)=0,"",D25/SUMIFS(Sensitive!$J$6:$J$125,Sensitive!$B$6:$B$125,D$4))</f>
        <v/>
      </c>
      <c r="E26" s="23">
        <f>IF(SUMIFS(Sensitive!$J$6:$J$125,Sensitive!$B$6:$B$125,E$4)=0,"",E25/SUMIFS(Sensitive!$J$6:$J$125,Sensitive!$B$6:$B$125,E$4))</f>
        <v/>
      </c>
      <c r="F26" s="23">
        <f>IF(SUM(Sensitive!$J$6:$J$125)=0,"",F25/SUM(Sensitive!$J$6:$J$125))</f>
        <v/>
      </c>
    </row>
    <row r="27">
      <c r="A27" s="7" t="inlineStr">
        <is>
          <t>Sessions with an alternate activity offered</t>
        </is>
      </c>
      <c r="B27" s="21">
        <f>COUNTIFS(Sensitive!$B$6:$B$125,B$4,Sensitive!$L$6:$L$125,"Yes")</f>
        <v/>
      </c>
      <c r="C27" s="21">
        <f>COUNTIFS(Sensitive!$B$6:$B$125,C$4,Sensitive!$L$6:$L$125,"Yes")</f>
        <v/>
      </c>
      <c r="D27" s="21">
        <f>COUNTIFS(Sensitive!$B$6:$B$125,D$4,Sensitive!$L$6:$L$125,"Yes")</f>
        <v/>
      </c>
      <c r="E27" s="21">
        <f>COUNTIFS(Sensitive!$B$6:$B$125,E$4,Sensitive!$L$6:$L$125,"Yes")</f>
        <v/>
      </c>
      <c r="F27" s="21">
        <f>SUM(B27:E27)</f>
        <v/>
      </c>
    </row>
    <row r="28">
      <c r="A28" s="7" t="inlineStr">
        <is>
          <t>Sessions with at least the minimum family notice</t>
        </is>
      </c>
      <c r="B28" s="21">
        <f>COUNTIFS(Sensitive!$B$6:$B$125,B$4,Sensitive!$G$6:$G$125,"OK")</f>
        <v/>
      </c>
      <c r="C28" s="21">
        <f>COUNTIFS(Sensitive!$B$6:$B$125,C$4,Sensitive!$G$6:$G$125,"OK")</f>
        <v/>
      </c>
      <c r="D28" s="21">
        <f>COUNTIFS(Sensitive!$B$6:$B$125,D$4,Sensitive!$G$6:$G$125,"OK")</f>
        <v/>
      </c>
      <c r="E28" s="21">
        <f>COUNTIFS(Sensitive!$B$6:$B$125,E$4,Sensitive!$G$6:$G$125,"OK")</f>
        <v/>
      </c>
      <c r="F28" s="21">
        <f>SUM(B28:E28)</f>
        <v/>
      </c>
    </row>
    <row r="29">
      <c r="A29" s="7" t="inlineStr">
        <is>
          <t>Sessions with a counselor available</t>
        </is>
      </c>
      <c r="B29" s="21">
        <f>COUNTIFS(Sensitive!$B$6:$B$125,B$4,Sensitive!$I$6:$I$125,"Yes")</f>
        <v/>
      </c>
      <c r="C29" s="21">
        <f>COUNTIFS(Sensitive!$B$6:$B$125,C$4,Sensitive!$I$6:$I$125,"Yes")</f>
        <v/>
      </c>
      <c r="D29" s="21">
        <f>COUNTIFS(Sensitive!$B$6:$B$125,D$4,Sensitive!$I$6:$I$125,"Yes")</f>
        <v/>
      </c>
      <c r="E29" s="21">
        <f>COUNTIFS(Sensitive!$B$6:$B$125,E$4,Sensitive!$I$6:$I$125,"Yes")</f>
        <v/>
      </c>
      <c r="F29" s="21">
        <f>SUM(B29:E29)</f>
        <v/>
      </c>
    </row>
    <row r="30">
      <c r="A30" s="7" t="inlineStr">
        <is>
          <t>Students who asked to talk (count)</t>
        </is>
      </c>
      <c r="B30" s="21">
        <f>SUMIFS(Sensitive!$N$6:$N$125,Sensitive!$B$6:$B$125,B$4)</f>
        <v/>
      </c>
      <c r="C30" s="21">
        <f>SUMIFS(Sensitive!$N$6:$N$125,Sensitive!$B$6:$B$125,C$4)</f>
        <v/>
      </c>
      <c r="D30" s="21">
        <f>SUMIFS(Sensitive!$N$6:$N$125,Sensitive!$B$6:$B$125,D$4)</f>
        <v/>
      </c>
      <c r="E30" s="21">
        <f>SUMIFS(Sensitive!$N$6:$N$125,Sensitive!$B$6:$B$125,E$4)</f>
        <v/>
      </c>
      <c r="F30" s="21">
        <f>SUM(B30:E30)</f>
        <v/>
      </c>
    </row>
    <row r="31">
      <c r="A31" s="7" t="inlineStr">
        <is>
          <t>Concerns or disclosures raised (count)</t>
        </is>
      </c>
      <c r="B31" s="21">
        <f>SUMIFS(Sensitive!$O$6:$O$125,Sensitive!$B$6:$B$125,B$4)</f>
        <v/>
      </c>
      <c r="C31" s="21">
        <f>SUMIFS(Sensitive!$O$6:$O$125,Sensitive!$B$6:$B$125,C$4)</f>
        <v/>
      </c>
      <c r="D31" s="21">
        <f>SUMIFS(Sensitive!$O$6:$O$125,Sensitive!$B$6:$B$125,D$4)</f>
        <v/>
      </c>
      <c r="E31" s="21">
        <f>SUMIFS(Sensitive!$O$6:$O$125,Sensitive!$B$6:$B$125,E$4)</f>
        <v/>
      </c>
      <c r="F31" s="21">
        <f>SUM(B31:E31)</f>
        <v/>
      </c>
    </row>
    <row r="32">
      <c r="A32" s="7" t="inlineStr">
        <is>
          <t>Referred to counselor (count)</t>
        </is>
      </c>
      <c r="B32" s="21">
        <f>SUMIFS(Sensitive!$P$6:$P$125,Sensitive!$B$6:$B$125,B$4)</f>
        <v/>
      </c>
      <c r="C32" s="21">
        <f>SUMIFS(Sensitive!$P$6:$P$125,Sensitive!$B$6:$B$125,C$4)</f>
        <v/>
      </c>
      <c r="D32" s="21">
        <f>SUMIFS(Sensitive!$P$6:$P$125,Sensitive!$B$6:$B$125,D$4)</f>
        <v/>
      </c>
      <c r="E32" s="21">
        <f>SUMIFS(Sensitive!$P$6:$P$125,Sensitive!$B$6:$B$125,E$4)</f>
        <v/>
      </c>
      <c r="F32" s="21">
        <f>SUM(B32:E32)</f>
        <v/>
      </c>
    </row>
    <row r="33">
      <c r="A33" s="7" t="inlineStr">
        <is>
          <t>Reports made as required (count)</t>
        </is>
      </c>
      <c r="B33" s="21">
        <f>SUMIFS(Sensitive!$Q$6:$Q$125,Sensitive!$B$6:$B$125,B$4)</f>
        <v/>
      </c>
      <c r="C33" s="21">
        <f>SUMIFS(Sensitive!$Q$6:$Q$125,Sensitive!$B$6:$B$125,C$4)</f>
        <v/>
      </c>
      <c r="D33" s="21">
        <f>SUMIFS(Sensitive!$Q$6:$Q$125,Sensitive!$B$6:$B$125,D$4)</f>
        <v/>
      </c>
      <c r="E33" s="21">
        <f>SUMIFS(Sensitive!$Q$6:$Q$125,Sensitive!$B$6:$B$125,E$4)</f>
        <v/>
      </c>
      <c r="F33" s="21">
        <f>SUM(B33:E33)</f>
        <v/>
      </c>
    </row>
    <row r="34">
      <c r="A34" s="19" t="inlineStr">
        <is>
          <t>5. Families</t>
        </is>
      </c>
      <c r="B34" s="20" t="n"/>
      <c r="C34" s="20" t="n"/>
      <c r="D34" s="20" t="n"/>
      <c r="E34" s="20" t="n"/>
      <c r="F34" s="20" t="n"/>
    </row>
    <row r="35">
      <c r="A35" s="7" t="inlineStr">
        <is>
          <t>Families notified</t>
        </is>
      </c>
      <c r="B35" s="21">
        <f>SUMIF(Family!$B$6:$B$45,B$4,Family!$C$6:$C$45)</f>
        <v/>
      </c>
      <c r="C35" s="21">
        <f>SUMIF(Family!$B$6:$B$45,C$4,Family!$C$6:$C$45)</f>
        <v/>
      </c>
      <c r="D35" s="21">
        <f>SUMIF(Family!$B$6:$B$45,D$4,Family!$C$6:$C$45)</f>
        <v/>
      </c>
      <c r="E35" s="21">
        <f>SUMIF(Family!$B$6:$B$45,E$4,Family!$C$6:$C$45)</f>
        <v/>
      </c>
      <c r="F35" s="21">
        <f>SUM(B35:E35)</f>
        <v/>
      </c>
    </row>
    <row r="36">
      <c r="A36" s="7" t="inlineStr">
        <is>
          <t>Reply slips returned</t>
        </is>
      </c>
      <c r="B36" s="21">
        <f>SUMIF(Family!$B$6:$B$45,B$4,Family!$D$6:$D$45)</f>
        <v/>
      </c>
      <c r="C36" s="21">
        <f>SUMIF(Family!$B$6:$B$45,C$4,Family!$D$6:$D$45)</f>
        <v/>
      </c>
      <c r="D36" s="21">
        <f>SUMIF(Family!$B$6:$B$45,D$4,Family!$D$6:$D$45)</f>
        <v/>
      </c>
      <c r="E36" s="21">
        <f>SUMIF(Family!$B$6:$B$45,E$4,Family!$D$6:$D$45)</f>
        <v/>
      </c>
      <c r="F36" s="21">
        <f>SUM(B36:E36)</f>
        <v/>
      </c>
    </row>
    <row r="37">
      <c r="A37" s="7" t="inlineStr">
        <is>
          <t>Reply rate</t>
        </is>
      </c>
      <c r="B37" s="23">
        <f>IF(B35=0,"",B36/B35)</f>
        <v/>
      </c>
      <c r="C37" s="23">
        <f>IF(C35=0,"",C36/C35)</f>
        <v/>
      </c>
      <c r="D37" s="23">
        <f>IF(D35=0,"",D36/D35)</f>
        <v/>
      </c>
      <c r="E37" s="23">
        <f>IF(E35=0,"",E36/E35)</f>
        <v/>
      </c>
      <c r="F37" s="23">
        <f>IF(F35=0,"",F36/F35)</f>
        <v/>
      </c>
    </row>
    <row r="38">
      <c r="A38" s="7" t="inlineStr">
        <is>
          <t>Family event attendees</t>
        </is>
      </c>
      <c r="B38" s="21">
        <f>SUMIF(Family!$B$6:$B$45,B$4,Family!$F$6:$F$45)</f>
        <v/>
      </c>
      <c r="C38" s="21">
        <f>SUMIF(Family!$B$6:$B$45,C$4,Family!$F$6:$F$45)</f>
        <v/>
      </c>
      <c r="D38" s="21">
        <f>SUMIF(Family!$B$6:$B$45,D$4,Family!$F$6:$F$45)</f>
        <v/>
      </c>
      <c r="E38" s="21">
        <f>SUMIF(Family!$B$6:$B$45,E$4,Family!$F$6:$F$45)</f>
        <v/>
      </c>
      <c r="F38" s="21">
        <f>SUM(B38:E38)</f>
        <v/>
      </c>
    </row>
    <row r="39">
      <c r="A39" s="7" t="inlineStr">
        <is>
          <t>Family previews held</t>
        </is>
      </c>
      <c r="B39" s="21">
        <f>SUMIF(Family!$B$6:$B$45,B$4,Family!$G$6:$G$45)</f>
        <v/>
      </c>
      <c r="C39" s="21">
        <f>SUMIF(Family!$B$6:$B$45,C$4,Family!$G$6:$G$45)</f>
        <v/>
      </c>
      <c r="D39" s="21">
        <f>SUMIF(Family!$B$6:$B$45,D$4,Family!$G$6:$G$45)</f>
        <v/>
      </c>
      <c r="E39" s="21">
        <f>SUMIF(Family!$B$6:$B$45,E$4,Family!$G$6:$G$45)</f>
        <v/>
      </c>
      <c r="F39" s="21">
        <f>SUM(B39:E39)</f>
        <v/>
      </c>
    </row>
    <row r="41" ht="92" customHeight="1">
      <c r="A41" s="25" t="inlineStr">
        <is>
          <t>Limits of these data (keep this paragraph when you share the summary): These results come from short self-report surveys and teacher counts, without a comparison group. They show how students' answers and confidence changed during the program. They do not show that the program caused those changes, and they do not show changes in real-world behavior or safety. After lessons, disclosures often go up because students feel safer to tell; do not treat an increase as a failure. Hackles has not been evaluated in a controlled study.</t>
        </is>
      </c>
    </row>
  </sheetData>
  <sheetProtection selectLockedCells="0" selectUnlockedCells="0" sheet="1" objects="0" insertRows="1" insertHyperlinks="1" autoFilter="0" scenarios="0" formatColumns="0" deleteColumns="1" insertColumns="1" pivotTables="1" deleteRows="1" formatCells="1" formatRows="0" sort="0"/>
  <mergeCells count="3">
    <mergeCell ref="A3:F3"/>
    <mergeCell ref="A2:F2"/>
    <mergeCell ref="A41:F41"/>
  </mergeCells>
  <conditionalFormatting sqref="B17:F21">
    <cfRule type="expression" priority="1" dxfId="7">
      <formula>ISTEXT(B17)</formula>
    </cfRule>
  </conditionalFormatting>
  <conditionalFormatting sqref="B9:F9">
    <cfRule type="dataBar" priority="2">
      <dataBar>
        <cfvo type="num" val="0"/>
        <cfvo type="num" val="1"/>
        <color rgb="008FCB9B"/>
      </dataBar>
    </cfRule>
  </conditionalFormatting>
  <conditionalFormatting sqref="B19:F19">
    <cfRule type="cellIs" priority="3" operator="greaterThan" dxfId="1">
      <formula>0</formula>
    </cfRule>
    <cfRule type="cellIs" priority="4" operator="lessThan" dxfId="6">
      <formula>0</formula>
    </cfRule>
  </conditionalFormatting>
  <pageMargins left="0.75" right="0.75" top="1" bottom="1" header="0.5" footer="0.5"/>
  <pageSetup orientation="portrait" fitToHeight="0" fitToWidth="1"/>
  <headerFooter>
    <oddHeader/>
    <oddFooter>&amp;CHackles Implementation Tracker. Counts only, no names or IDs. &amp;P of &amp;N</oddFooter>
    <evenHeader/>
    <evenFooter/>
    <firstHeader/>
    <firstFooter/>
  </headerFooter>
</worksheet>
</file>

<file path=xl/worksheets/sheet10.xml><?xml version="1.0" encoding="utf-8"?>
<worksheet xmlns="http://schemas.openxmlformats.org/spreadsheetml/2006/main">
  <sheetPr>
    <tabColor rgb="002B2D42"/>
    <outlinePr summaryBelow="1" summaryRight="1"/>
    <pageSetUpPr fitToPage="1"/>
  </sheetPr>
  <dimension ref="A1:R6"/>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5" t="inlineStr">
        <is>
          <t>Dashboard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Key numbers and charts from the Summary. Percentages for small groups are left out of the charts. Read the limits paragraph on the Summary sheet before sharing.</t>
        </is>
      </c>
    </row>
    <row r="5" ht="30" customHeight="1">
      <c r="A5" s="26" t="inlineStr">
        <is>
          <t>Classes or groups</t>
        </is>
      </c>
      <c r="B5" s="27" t="n"/>
      <c r="C5" s="26" t="inlineStr">
        <is>
          <t>Students enrolled</t>
        </is>
      </c>
      <c r="D5" s="27" t="n"/>
      <c r="E5" s="26" t="inlineStr">
        <is>
          <t>Core lesson completion</t>
        </is>
      </c>
      <c r="F5" s="27" t="n"/>
      <c r="G5" s="26" t="inlineStr">
        <is>
          <t>Help Ladder practice sessions</t>
        </is>
      </c>
      <c r="H5" s="27" t="n"/>
      <c r="I5" s="26" t="inlineStr">
        <is>
          <t>Opt-out requests</t>
        </is>
      </c>
      <c r="J5" s="27" t="n"/>
      <c r="K5" s="26" t="inlineStr">
        <is>
          <t>Family reply rate</t>
        </is>
      </c>
      <c r="L5" s="27" t="n"/>
      <c r="M5" s="26" t="inlineStr">
        <is>
          <t>Data issues to review</t>
        </is>
      </c>
      <c r="N5" s="27" t="n"/>
    </row>
    <row r="6" ht="34" customHeight="1">
      <c r="A6" s="28">
        <f>Summary!F6</f>
        <v/>
      </c>
      <c r="B6" s="20" t="n"/>
      <c r="C6" s="28">
        <f>Summary!F7</f>
        <v/>
      </c>
      <c r="D6" s="20" t="n"/>
      <c r="E6" s="29">
        <f>Summary!F9</f>
        <v/>
      </c>
      <c r="F6" s="20" t="n"/>
      <c r="G6" s="28">
        <f>Summary!F12</f>
        <v/>
      </c>
      <c r="H6" s="20" t="n"/>
      <c r="I6" s="28">
        <f>Summary!F25</f>
        <v/>
      </c>
      <c r="J6" s="20" t="n"/>
      <c r="K6" s="29">
        <f>Summary!F37</f>
        <v/>
      </c>
      <c r="L6" s="20" t="n"/>
      <c r="M6" s="28">
        <f>Checks!F4</f>
        <v/>
      </c>
      <c r="N6" s="20" t="n"/>
    </row>
  </sheetData>
  <sheetProtection selectLockedCells="0" selectUnlockedCells="0" sheet="1" objects="0" insertRows="1" insertHyperlinks="1" autoFilter="0" scenarios="0" formatColumns="0" deleteColumns="1" insertColumns="1" pivotTables="1" deleteRows="1" formatCells="1" formatRows="0" sort="0"/>
  <mergeCells count="16">
    <mergeCell ref="A3:R3"/>
    <mergeCell ref="E6:F6"/>
    <mergeCell ref="C6:D6"/>
    <mergeCell ref="I6:J6"/>
    <mergeCell ref="M6:N6"/>
    <mergeCell ref="A2:R2"/>
    <mergeCell ref="C5:D5"/>
    <mergeCell ref="A5:B5"/>
    <mergeCell ref="G5:H5"/>
    <mergeCell ref="E5:F5"/>
    <mergeCell ref="K5:L5"/>
    <mergeCell ref="I5:J5"/>
    <mergeCell ref="M5:N5"/>
    <mergeCell ref="G6:H6"/>
    <mergeCell ref="K6:L6"/>
    <mergeCell ref="A6:B6"/>
  </mergeCells>
  <conditionalFormatting sqref="M6">
    <cfRule type="cellIs" priority="1" operator="greaterThan" dxfId="6">
      <formula>0</formula>
    </cfRule>
  </conditionalFormatting>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K4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4" customWidth="1" min="7" max="7"/>
    <col width="12" customWidth="1" min="8" max="8"/>
    <col width="14" customWidth="1" min="9" max="9"/>
    <col width="12" customWidth="1" min="10" max="10"/>
    <col width="10" customWidth="1" min="11" max="11"/>
  </cols>
  <sheetData>
    <row r="1">
      <c r="A1" s="5" t="inlineStr">
        <is>
          <t>Data checks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Each column is 1 when something looks wrong for that class. Fix the entry sheet, not this one. Values pasted over a drop-down or limit can bypass the entry rules, so these checks catch them.</t>
        </is>
      </c>
    </row>
    <row r="4">
      <c r="A4" s="30" t="inlineStr">
        <is>
          <t>Class-level issues</t>
        </is>
      </c>
      <c r="B4" s="31">
        <f>SUM(K6:K45)</f>
        <v/>
      </c>
      <c r="C4" s="30" t="inlineStr">
        <is>
          <t>Sensitive-lesson row issues</t>
        </is>
      </c>
      <c r="D4" s="31">
        <f>SUM(Sensitive!R6:R125)</f>
        <v/>
      </c>
      <c r="E4" s="30" t="inlineStr">
        <is>
          <t>Total issues to review</t>
        </is>
      </c>
      <c r="F4" s="31">
        <f>B4+D4</f>
        <v/>
      </c>
    </row>
    <row r="5" ht="62" customHeight="1">
      <c r="A5" s="11" t="inlineStr">
        <is>
          <t>Class</t>
        </is>
      </c>
      <c r="B5" s="11" t="inlineStr">
        <is>
          <t>Band or enrollment missing</t>
        </is>
      </c>
      <c r="C5" s="11" t="inlineStr">
        <is>
          <t>Survey count above enrolled</t>
        </is>
      </c>
      <c r="D5" s="11" t="inlineStr">
        <is>
          <t>Best-answer count above who answered</t>
        </is>
      </c>
      <c r="E5" s="11" t="inlineStr">
        <is>
          <t>Plus lesson entered for K-5</t>
        </is>
      </c>
      <c r="F5" s="11" t="inlineStr">
        <is>
          <t>Help Ladder practiced above enrolled</t>
        </is>
      </c>
      <c r="G5" s="11" t="inlineStr">
        <is>
          <t>Family replies above notified</t>
        </is>
      </c>
      <c r="H5" s="11" t="inlineStr">
        <is>
          <t>Matched pairs too high</t>
        </is>
      </c>
      <c r="I5" s="11" t="inlineStr">
        <is>
          <t>Post survey with under 5 core lessons</t>
        </is>
      </c>
      <c r="J5" s="11" t="inlineStr">
        <is>
          <t>Duplicate class label</t>
        </is>
      </c>
      <c r="K5" s="11" t="inlineStr">
        <is>
          <t>Issues</t>
        </is>
      </c>
    </row>
    <row r="6">
      <c r="A6" s="12">
        <f>IF(Classes!B6="","",Classes!B6)</f>
        <v/>
      </c>
      <c r="B6" s="14">
        <f>IF(A6="","",IF(OR(Classes!C6="",Classes!D6=""),1,0))</f>
        <v/>
      </c>
      <c r="C6" s="14">
        <f>IF(A6="","",IF(OR(AND(Surveys!D6&lt;&gt;"",Surveys!D6&gt;Classes!D6),AND(Surveys!I6&lt;&gt;"",Surveys!I6&gt;Classes!D6)),1,0))</f>
        <v/>
      </c>
      <c r="D6" s="14">
        <f>IF(A6="","",IF(OR(MAX(Surveys!E6:H6)&gt;Surveys!D6,MAX(Surveys!J6:M6)&gt;Surveys!I6),1,0))</f>
        <v/>
      </c>
      <c r="E6" s="14">
        <f>IF(A6="","",IF(AND(OR(Classes!C6="Gr K-2",Classes!C6="Gr 3-5"),COUNTA(Lessons!M6:P6)&gt;0),1,0))</f>
        <v/>
      </c>
      <c r="F6" s="14">
        <f>IF(A6="","",IF(HelpLadder!E6&gt;Classes!D6,1,0))</f>
        <v/>
      </c>
      <c r="G6" s="14">
        <f>IF(A6="","",IF(Family!D6&gt;Family!C6,1,0))</f>
        <v/>
      </c>
      <c r="H6" s="14">
        <f>IF(A6="","",IF(Surveys!N6&gt;MIN(Surveys!D6,Surveys!I6),1,0))</f>
        <v/>
      </c>
      <c r="I6" s="14">
        <f>IF(A6="","",IF(AND(Surveys!I6&gt;0,Lessons!Q6&lt;5),1,0))</f>
        <v/>
      </c>
      <c r="J6" s="14">
        <f>IF(A6="","",IF(COUNTIF(Classes!$B$6:$B$45,A6)&gt;1,1,0))</f>
        <v/>
      </c>
      <c r="K6" s="14">
        <f>IF(A6="","",SUM(B6:J6))</f>
        <v/>
      </c>
    </row>
    <row r="7">
      <c r="A7" s="12">
        <f>IF(Classes!B7="","",Classes!B7)</f>
        <v/>
      </c>
      <c r="B7" s="14">
        <f>IF(A7="","",IF(OR(Classes!C7="",Classes!D7=""),1,0))</f>
        <v/>
      </c>
      <c r="C7" s="14">
        <f>IF(A7="","",IF(OR(AND(Surveys!D7&lt;&gt;"",Surveys!D7&gt;Classes!D7),AND(Surveys!I7&lt;&gt;"",Surveys!I7&gt;Classes!D7)),1,0))</f>
        <v/>
      </c>
      <c r="D7" s="14">
        <f>IF(A7="","",IF(OR(MAX(Surveys!E7:H7)&gt;Surveys!D7,MAX(Surveys!J7:M7)&gt;Surveys!I7),1,0))</f>
        <v/>
      </c>
      <c r="E7" s="14">
        <f>IF(A7="","",IF(AND(OR(Classes!C7="Gr K-2",Classes!C7="Gr 3-5"),COUNTA(Lessons!M7:P7)&gt;0),1,0))</f>
        <v/>
      </c>
      <c r="F7" s="14">
        <f>IF(A7="","",IF(HelpLadder!E7&gt;Classes!D7,1,0))</f>
        <v/>
      </c>
      <c r="G7" s="14">
        <f>IF(A7="","",IF(Family!D7&gt;Family!C7,1,0))</f>
        <v/>
      </c>
      <c r="H7" s="14">
        <f>IF(A7="","",IF(Surveys!N7&gt;MIN(Surveys!D7,Surveys!I7),1,0))</f>
        <v/>
      </c>
      <c r="I7" s="14">
        <f>IF(A7="","",IF(AND(Surveys!I7&gt;0,Lessons!Q7&lt;5),1,0))</f>
        <v/>
      </c>
      <c r="J7" s="14">
        <f>IF(A7="","",IF(COUNTIF(Classes!$B$6:$B$45,A7)&gt;1,1,0))</f>
        <v/>
      </c>
      <c r="K7" s="14">
        <f>IF(A7="","",SUM(B7:J7))</f>
        <v/>
      </c>
    </row>
    <row r="8">
      <c r="A8" s="12">
        <f>IF(Classes!B8="","",Classes!B8)</f>
        <v/>
      </c>
      <c r="B8" s="14">
        <f>IF(A8="","",IF(OR(Classes!C8="",Classes!D8=""),1,0))</f>
        <v/>
      </c>
      <c r="C8" s="14">
        <f>IF(A8="","",IF(OR(AND(Surveys!D8&lt;&gt;"",Surveys!D8&gt;Classes!D8),AND(Surveys!I8&lt;&gt;"",Surveys!I8&gt;Classes!D8)),1,0))</f>
        <v/>
      </c>
      <c r="D8" s="14">
        <f>IF(A8="","",IF(OR(MAX(Surveys!E8:H8)&gt;Surveys!D8,MAX(Surveys!J8:M8)&gt;Surveys!I8),1,0))</f>
        <v/>
      </c>
      <c r="E8" s="14">
        <f>IF(A8="","",IF(AND(OR(Classes!C8="Gr K-2",Classes!C8="Gr 3-5"),COUNTA(Lessons!M8:P8)&gt;0),1,0))</f>
        <v/>
      </c>
      <c r="F8" s="14">
        <f>IF(A8="","",IF(HelpLadder!E8&gt;Classes!D8,1,0))</f>
        <v/>
      </c>
      <c r="G8" s="14">
        <f>IF(A8="","",IF(Family!D8&gt;Family!C8,1,0))</f>
        <v/>
      </c>
      <c r="H8" s="14">
        <f>IF(A8="","",IF(Surveys!N8&gt;MIN(Surveys!D8,Surveys!I8),1,0))</f>
        <v/>
      </c>
      <c r="I8" s="14">
        <f>IF(A8="","",IF(AND(Surveys!I8&gt;0,Lessons!Q8&lt;5),1,0))</f>
        <v/>
      </c>
      <c r="J8" s="14">
        <f>IF(A8="","",IF(COUNTIF(Classes!$B$6:$B$45,A8)&gt;1,1,0))</f>
        <v/>
      </c>
      <c r="K8" s="14">
        <f>IF(A8="","",SUM(B8:J8))</f>
        <v/>
      </c>
    </row>
    <row r="9">
      <c r="A9" s="12">
        <f>IF(Classes!B9="","",Classes!B9)</f>
        <v/>
      </c>
      <c r="B9" s="14">
        <f>IF(A9="","",IF(OR(Classes!C9="",Classes!D9=""),1,0))</f>
        <v/>
      </c>
      <c r="C9" s="14">
        <f>IF(A9="","",IF(OR(AND(Surveys!D9&lt;&gt;"",Surveys!D9&gt;Classes!D9),AND(Surveys!I9&lt;&gt;"",Surveys!I9&gt;Classes!D9)),1,0))</f>
        <v/>
      </c>
      <c r="D9" s="14">
        <f>IF(A9="","",IF(OR(MAX(Surveys!E9:H9)&gt;Surveys!D9,MAX(Surveys!J9:M9)&gt;Surveys!I9),1,0))</f>
        <v/>
      </c>
      <c r="E9" s="14">
        <f>IF(A9="","",IF(AND(OR(Classes!C9="Gr K-2",Classes!C9="Gr 3-5"),COUNTA(Lessons!M9:P9)&gt;0),1,0))</f>
        <v/>
      </c>
      <c r="F9" s="14">
        <f>IF(A9="","",IF(HelpLadder!E9&gt;Classes!D9,1,0))</f>
        <v/>
      </c>
      <c r="G9" s="14">
        <f>IF(A9="","",IF(Family!D9&gt;Family!C9,1,0))</f>
        <v/>
      </c>
      <c r="H9" s="14">
        <f>IF(A9="","",IF(Surveys!N9&gt;MIN(Surveys!D9,Surveys!I9),1,0))</f>
        <v/>
      </c>
      <c r="I9" s="14">
        <f>IF(A9="","",IF(AND(Surveys!I9&gt;0,Lessons!Q9&lt;5),1,0))</f>
        <v/>
      </c>
      <c r="J9" s="14">
        <f>IF(A9="","",IF(COUNTIF(Classes!$B$6:$B$45,A9)&gt;1,1,0))</f>
        <v/>
      </c>
      <c r="K9" s="14">
        <f>IF(A9="","",SUM(B9:J9))</f>
        <v/>
      </c>
    </row>
    <row r="10">
      <c r="A10" s="12">
        <f>IF(Classes!B10="","",Classes!B10)</f>
        <v/>
      </c>
      <c r="B10" s="14">
        <f>IF(A10="","",IF(OR(Classes!C10="",Classes!D10=""),1,0))</f>
        <v/>
      </c>
      <c r="C10" s="14">
        <f>IF(A10="","",IF(OR(AND(Surveys!D10&lt;&gt;"",Surveys!D10&gt;Classes!D10),AND(Surveys!I10&lt;&gt;"",Surveys!I10&gt;Classes!D10)),1,0))</f>
        <v/>
      </c>
      <c r="D10" s="14">
        <f>IF(A10="","",IF(OR(MAX(Surveys!E10:H10)&gt;Surveys!D10,MAX(Surveys!J10:M10)&gt;Surveys!I10),1,0))</f>
        <v/>
      </c>
      <c r="E10" s="14">
        <f>IF(A10="","",IF(AND(OR(Classes!C10="Gr K-2",Classes!C10="Gr 3-5"),COUNTA(Lessons!M10:P10)&gt;0),1,0))</f>
        <v/>
      </c>
      <c r="F10" s="14">
        <f>IF(A10="","",IF(HelpLadder!E10&gt;Classes!D10,1,0))</f>
        <v/>
      </c>
      <c r="G10" s="14">
        <f>IF(A10="","",IF(Family!D10&gt;Family!C10,1,0))</f>
        <v/>
      </c>
      <c r="H10" s="14">
        <f>IF(A10="","",IF(Surveys!N10&gt;MIN(Surveys!D10,Surveys!I10),1,0))</f>
        <v/>
      </c>
      <c r="I10" s="14">
        <f>IF(A10="","",IF(AND(Surveys!I10&gt;0,Lessons!Q10&lt;5),1,0))</f>
        <v/>
      </c>
      <c r="J10" s="14">
        <f>IF(A10="","",IF(COUNTIF(Classes!$B$6:$B$45,A10)&gt;1,1,0))</f>
        <v/>
      </c>
      <c r="K10" s="14">
        <f>IF(A10="","",SUM(B10:J10))</f>
        <v/>
      </c>
    </row>
    <row r="11">
      <c r="A11" s="12">
        <f>IF(Classes!B11="","",Classes!B11)</f>
        <v/>
      </c>
      <c r="B11" s="14">
        <f>IF(A11="","",IF(OR(Classes!C11="",Classes!D11=""),1,0))</f>
        <v/>
      </c>
      <c r="C11" s="14">
        <f>IF(A11="","",IF(OR(AND(Surveys!D11&lt;&gt;"",Surveys!D11&gt;Classes!D11),AND(Surveys!I11&lt;&gt;"",Surveys!I11&gt;Classes!D11)),1,0))</f>
        <v/>
      </c>
      <c r="D11" s="14">
        <f>IF(A11="","",IF(OR(MAX(Surveys!E11:H11)&gt;Surveys!D11,MAX(Surveys!J11:M11)&gt;Surveys!I11),1,0))</f>
        <v/>
      </c>
      <c r="E11" s="14">
        <f>IF(A11="","",IF(AND(OR(Classes!C11="Gr K-2",Classes!C11="Gr 3-5"),COUNTA(Lessons!M11:P11)&gt;0),1,0))</f>
        <v/>
      </c>
      <c r="F11" s="14">
        <f>IF(A11="","",IF(HelpLadder!E11&gt;Classes!D11,1,0))</f>
        <v/>
      </c>
      <c r="G11" s="14">
        <f>IF(A11="","",IF(Family!D11&gt;Family!C11,1,0))</f>
        <v/>
      </c>
      <c r="H11" s="14">
        <f>IF(A11="","",IF(Surveys!N11&gt;MIN(Surveys!D11,Surveys!I11),1,0))</f>
        <v/>
      </c>
      <c r="I11" s="14">
        <f>IF(A11="","",IF(AND(Surveys!I11&gt;0,Lessons!Q11&lt;5),1,0))</f>
        <v/>
      </c>
      <c r="J11" s="14">
        <f>IF(A11="","",IF(COUNTIF(Classes!$B$6:$B$45,A11)&gt;1,1,0))</f>
        <v/>
      </c>
      <c r="K11" s="14">
        <f>IF(A11="","",SUM(B11:J11))</f>
        <v/>
      </c>
    </row>
    <row r="12">
      <c r="A12" s="12">
        <f>IF(Classes!B12="","",Classes!B12)</f>
        <v/>
      </c>
      <c r="B12" s="14">
        <f>IF(A12="","",IF(OR(Classes!C12="",Classes!D12=""),1,0))</f>
        <v/>
      </c>
      <c r="C12" s="14">
        <f>IF(A12="","",IF(OR(AND(Surveys!D12&lt;&gt;"",Surveys!D12&gt;Classes!D12),AND(Surveys!I12&lt;&gt;"",Surveys!I12&gt;Classes!D12)),1,0))</f>
        <v/>
      </c>
      <c r="D12" s="14">
        <f>IF(A12="","",IF(OR(MAX(Surveys!E12:H12)&gt;Surveys!D12,MAX(Surveys!J12:M12)&gt;Surveys!I12),1,0))</f>
        <v/>
      </c>
      <c r="E12" s="14">
        <f>IF(A12="","",IF(AND(OR(Classes!C12="Gr K-2",Classes!C12="Gr 3-5"),COUNTA(Lessons!M12:P12)&gt;0),1,0))</f>
        <v/>
      </c>
      <c r="F12" s="14">
        <f>IF(A12="","",IF(HelpLadder!E12&gt;Classes!D12,1,0))</f>
        <v/>
      </c>
      <c r="G12" s="14">
        <f>IF(A12="","",IF(Family!D12&gt;Family!C12,1,0))</f>
        <v/>
      </c>
      <c r="H12" s="14">
        <f>IF(A12="","",IF(Surveys!N12&gt;MIN(Surveys!D12,Surveys!I12),1,0))</f>
        <v/>
      </c>
      <c r="I12" s="14">
        <f>IF(A12="","",IF(AND(Surveys!I12&gt;0,Lessons!Q12&lt;5),1,0))</f>
        <v/>
      </c>
      <c r="J12" s="14">
        <f>IF(A12="","",IF(COUNTIF(Classes!$B$6:$B$45,A12)&gt;1,1,0))</f>
        <v/>
      </c>
      <c r="K12" s="14">
        <f>IF(A12="","",SUM(B12:J12))</f>
        <v/>
      </c>
    </row>
    <row r="13">
      <c r="A13" s="12">
        <f>IF(Classes!B13="","",Classes!B13)</f>
        <v/>
      </c>
      <c r="B13" s="14">
        <f>IF(A13="","",IF(OR(Classes!C13="",Classes!D13=""),1,0))</f>
        <v/>
      </c>
      <c r="C13" s="14">
        <f>IF(A13="","",IF(OR(AND(Surveys!D13&lt;&gt;"",Surveys!D13&gt;Classes!D13),AND(Surveys!I13&lt;&gt;"",Surveys!I13&gt;Classes!D13)),1,0))</f>
        <v/>
      </c>
      <c r="D13" s="14">
        <f>IF(A13="","",IF(OR(MAX(Surveys!E13:H13)&gt;Surveys!D13,MAX(Surveys!J13:M13)&gt;Surveys!I13),1,0))</f>
        <v/>
      </c>
      <c r="E13" s="14">
        <f>IF(A13="","",IF(AND(OR(Classes!C13="Gr K-2",Classes!C13="Gr 3-5"),COUNTA(Lessons!M13:P13)&gt;0),1,0))</f>
        <v/>
      </c>
      <c r="F13" s="14">
        <f>IF(A13="","",IF(HelpLadder!E13&gt;Classes!D13,1,0))</f>
        <v/>
      </c>
      <c r="G13" s="14">
        <f>IF(A13="","",IF(Family!D13&gt;Family!C13,1,0))</f>
        <v/>
      </c>
      <c r="H13" s="14">
        <f>IF(A13="","",IF(Surveys!N13&gt;MIN(Surveys!D13,Surveys!I13),1,0))</f>
        <v/>
      </c>
      <c r="I13" s="14">
        <f>IF(A13="","",IF(AND(Surveys!I13&gt;0,Lessons!Q13&lt;5),1,0))</f>
        <v/>
      </c>
      <c r="J13" s="14">
        <f>IF(A13="","",IF(COUNTIF(Classes!$B$6:$B$45,A13)&gt;1,1,0))</f>
        <v/>
      </c>
      <c r="K13" s="14">
        <f>IF(A13="","",SUM(B13:J13))</f>
        <v/>
      </c>
    </row>
    <row r="14">
      <c r="A14" s="12">
        <f>IF(Classes!B14="","",Classes!B14)</f>
        <v/>
      </c>
      <c r="B14" s="14">
        <f>IF(A14="","",IF(OR(Classes!C14="",Classes!D14=""),1,0))</f>
        <v/>
      </c>
      <c r="C14" s="14">
        <f>IF(A14="","",IF(OR(AND(Surveys!D14&lt;&gt;"",Surveys!D14&gt;Classes!D14),AND(Surveys!I14&lt;&gt;"",Surveys!I14&gt;Classes!D14)),1,0))</f>
        <v/>
      </c>
      <c r="D14" s="14">
        <f>IF(A14="","",IF(OR(MAX(Surveys!E14:H14)&gt;Surveys!D14,MAX(Surveys!J14:M14)&gt;Surveys!I14),1,0))</f>
        <v/>
      </c>
      <c r="E14" s="14">
        <f>IF(A14="","",IF(AND(OR(Classes!C14="Gr K-2",Classes!C14="Gr 3-5"),COUNTA(Lessons!M14:P14)&gt;0),1,0))</f>
        <v/>
      </c>
      <c r="F14" s="14">
        <f>IF(A14="","",IF(HelpLadder!E14&gt;Classes!D14,1,0))</f>
        <v/>
      </c>
      <c r="G14" s="14">
        <f>IF(A14="","",IF(Family!D14&gt;Family!C14,1,0))</f>
        <v/>
      </c>
      <c r="H14" s="14">
        <f>IF(A14="","",IF(Surveys!N14&gt;MIN(Surveys!D14,Surveys!I14),1,0))</f>
        <v/>
      </c>
      <c r="I14" s="14">
        <f>IF(A14="","",IF(AND(Surveys!I14&gt;0,Lessons!Q14&lt;5),1,0))</f>
        <v/>
      </c>
      <c r="J14" s="14">
        <f>IF(A14="","",IF(COUNTIF(Classes!$B$6:$B$45,A14)&gt;1,1,0))</f>
        <v/>
      </c>
      <c r="K14" s="14">
        <f>IF(A14="","",SUM(B14:J14))</f>
        <v/>
      </c>
    </row>
    <row r="15">
      <c r="A15" s="12">
        <f>IF(Classes!B15="","",Classes!B15)</f>
        <v/>
      </c>
      <c r="B15" s="14">
        <f>IF(A15="","",IF(OR(Classes!C15="",Classes!D15=""),1,0))</f>
        <v/>
      </c>
      <c r="C15" s="14">
        <f>IF(A15="","",IF(OR(AND(Surveys!D15&lt;&gt;"",Surveys!D15&gt;Classes!D15),AND(Surveys!I15&lt;&gt;"",Surveys!I15&gt;Classes!D15)),1,0))</f>
        <v/>
      </c>
      <c r="D15" s="14">
        <f>IF(A15="","",IF(OR(MAX(Surveys!E15:H15)&gt;Surveys!D15,MAX(Surveys!J15:M15)&gt;Surveys!I15),1,0))</f>
        <v/>
      </c>
      <c r="E15" s="14">
        <f>IF(A15="","",IF(AND(OR(Classes!C15="Gr K-2",Classes!C15="Gr 3-5"),COUNTA(Lessons!M15:P15)&gt;0),1,0))</f>
        <v/>
      </c>
      <c r="F15" s="14">
        <f>IF(A15="","",IF(HelpLadder!E15&gt;Classes!D15,1,0))</f>
        <v/>
      </c>
      <c r="G15" s="14">
        <f>IF(A15="","",IF(Family!D15&gt;Family!C15,1,0))</f>
        <v/>
      </c>
      <c r="H15" s="14">
        <f>IF(A15="","",IF(Surveys!N15&gt;MIN(Surveys!D15,Surveys!I15),1,0))</f>
        <v/>
      </c>
      <c r="I15" s="14">
        <f>IF(A15="","",IF(AND(Surveys!I15&gt;0,Lessons!Q15&lt;5),1,0))</f>
        <v/>
      </c>
      <c r="J15" s="14">
        <f>IF(A15="","",IF(COUNTIF(Classes!$B$6:$B$45,A15)&gt;1,1,0))</f>
        <v/>
      </c>
      <c r="K15" s="14">
        <f>IF(A15="","",SUM(B15:J15))</f>
        <v/>
      </c>
    </row>
    <row r="16">
      <c r="A16" s="12">
        <f>IF(Classes!B16="","",Classes!B16)</f>
        <v/>
      </c>
      <c r="B16" s="14">
        <f>IF(A16="","",IF(OR(Classes!C16="",Classes!D16=""),1,0))</f>
        <v/>
      </c>
      <c r="C16" s="14">
        <f>IF(A16="","",IF(OR(AND(Surveys!D16&lt;&gt;"",Surveys!D16&gt;Classes!D16),AND(Surveys!I16&lt;&gt;"",Surveys!I16&gt;Classes!D16)),1,0))</f>
        <v/>
      </c>
      <c r="D16" s="14">
        <f>IF(A16="","",IF(OR(MAX(Surveys!E16:H16)&gt;Surveys!D16,MAX(Surveys!J16:M16)&gt;Surveys!I16),1,0))</f>
        <v/>
      </c>
      <c r="E16" s="14">
        <f>IF(A16="","",IF(AND(OR(Classes!C16="Gr K-2",Classes!C16="Gr 3-5"),COUNTA(Lessons!M16:P16)&gt;0),1,0))</f>
        <v/>
      </c>
      <c r="F16" s="14">
        <f>IF(A16="","",IF(HelpLadder!E16&gt;Classes!D16,1,0))</f>
        <v/>
      </c>
      <c r="G16" s="14">
        <f>IF(A16="","",IF(Family!D16&gt;Family!C16,1,0))</f>
        <v/>
      </c>
      <c r="H16" s="14">
        <f>IF(A16="","",IF(Surveys!N16&gt;MIN(Surveys!D16,Surveys!I16),1,0))</f>
        <v/>
      </c>
      <c r="I16" s="14">
        <f>IF(A16="","",IF(AND(Surveys!I16&gt;0,Lessons!Q16&lt;5),1,0))</f>
        <v/>
      </c>
      <c r="J16" s="14">
        <f>IF(A16="","",IF(COUNTIF(Classes!$B$6:$B$45,A16)&gt;1,1,0))</f>
        <v/>
      </c>
      <c r="K16" s="14">
        <f>IF(A16="","",SUM(B16:J16))</f>
        <v/>
      </c>
    </row>
    <row r="17">
      <c r="A17" s="12">
        <f>IF(Classes!B17="","",Classes!B17)</f>
        <v/>
      </c>
      <c r="B17" s="14">
        <f>IF(A17="","",IF(OR(Classes!C17="",Classes!D17=""),1,0))</f>
        <v/>
      </c>
      <c r="C17" s="14">
        <f>IF(A17="","",IF(OR(AND(Surveys!D17&lt;&gt;"",Surveys!D17&gt;Classes!D17),AND(Surveys!I17&lt;&gt;"",Surveys!I17&gt;Classes!D17)),1,0))</f>
        <v/>
      </c>
      <c r="D17" s="14">
        <f>IF(A17="","",IF(OR(MAX(Surveys!E17:H17)&gt;Surveys!D17,MAX(Surveys!J17:M17)&gt;Surveys!I17),1,0))</f>
        <v/>
      </c>
      <c r="E17" s="14">
        <f>IF(A17="","",IF(AND(OR(Classes!C17="Gr K-2",Classes!C17="Gr 3-5"),COUNTA(Lessons!M17:P17)&gt;0),1,0))</f>
        <v/>
      </c>
      <c r="F17" s="14">
        <f>IF(A17="","",IF(HelpLadder!E17&gt;Classes!D17,1,0))</f>
        <v/>
      </c>
      <c r="G17" s="14">
        <f>IF(A17="","",IF(Family!D17&gt;Family!C17,1,0))</f>
        <v/>
      </c>
      <c r="H17" s="14">
        <f>IF(A17="","",IF(Surveys!N17&gt;MIN(Surveys!D17,Surveys!I17),1,0))</f>
        <v/>
      </c>
      <c r="I17" s="14">
        <f>IF(A17="","",IF(AND(Surveys!I17&gt;0,Lessons!Q17&lt;5),1,0))</f>
        <v/>
      </c>
      <c r="J17" s="14">
        <f>IF(A17="","",IF(COUNTIF(Classes!$B$6:$B$45,A17)&gt;1,1,0))</f>
        <v/>
      </c>
      <c r="K17" s="14">
        <f>IF(A17="","",SUM(B17:J17))</f>
        <v/>
      </c>
    </row>
    <row r="18">
      <c r="A18" s="12">
        <f>IF(Classes!B18="","",Classes!B18)</f>
        <v/>
      </c>
      <c r="B18" s="14">
        <f>IF(A18="","",IF(OR(Classes!C18="",Classes!D18=""),1,0))</f>
        <v/>
      </c>
      <c r="C18" s="14">
        <f>IF(A18="","",IF(OR(AND(Surveys!D18&lt;&gt;"",Surveys!D18&gt;Classes!D18),AND(Surveys!I18&lt;&gt;"",Surveys!I18&gt;Classes!D18)),1,0))</f>
        <v/>
      </c>
      <c r="D18" s="14">
        <f>IF(A18="","",IF(OR(MAX(Surveys!E18:H18)&gt;Surveys!D18,MAX(Surveys!J18:M18)&gt;Surveys!I18),1,0))</f>
        <v/>
      </c>
      <c r="E18" s="14">
        <f>IF(A18="","",IF(AND(OR(Classes!C18="Gr K-2",Classes!C18="Gr 3-5"),COUNTA(Lessons!M18:P18)&gt;0),1,0))</f>
        <v/>
      </c>
      <c r="F18" s="14">
        <f>IF(A18="","",IF(HelpLadder!E18&gt;Classes!D18,1,0))</f>
        <v/>
      </c>
      <c r="G18" s="14">
        <f>IF(A18="","",IF(Family!D18&gt;Family!C18,1,0))</f>
        <v/>
      </c>
      <c r="H18" s="14">
        <f>IF(A18="","",IF(Surveys!N18&gt;MIN(Surveys!D18,Surveys!I18),1,0))</f>
        <v/>
      </c>
      <c r="I18" s="14">
        <f>IF(A18="","",IF(AND(Surveys!I18&gt;0,Lessons!Q18&lt;5),1,0))</f>
        <v/>
      </c>
      <c r="J18" s="14">
        <f>IF(A18="","",IF(COUNTIF(Classes!$B$6:$B$45,A18)&gt;1,1,0))</f>
        <v/>
      </c>
      <c r="K18" s="14">
        <f>IF(A18="","",SUM(B18:J18))</f>
        <v/>
      </c>
    </row>
    <row r="19">
      <c r="A19" s="12">
        <f>IF(Classes!B19="","",Classes!B19)</f>
        <v/>
      </c>
      <c r="B19" s="14">
        <f>IF(A19="","",IF(OR(Classes!C19="",Classes!D19=""),1,0))</f>
        <v/>
      </c>
      <c r="C19" s="14">
        <f>IF(A19="","",IF(OR(AND(Surveys!D19&lt;&gt;"",Surveys!D19&gt;Classes!D19),AND(Surveys!I19&lt;&gt;"",Surveys!I19&gt;Classes!D19)),1,0))</f>
        <v/>
      </c>
      <c r="D19" s="14">
        <f>IF(A19="","",IF(OR(MAX(Surveys!E19:H19)&gt;Surveys!D19,MAX(Surveys!J19:M19)&gt;Surveys!I19),1,0))</f>
        <v/>
      </c>
      <c r="E19" s="14">
        <f>IF(A19="","",IF(AND(OR(Classes!C19="Gr K-2",Classes!C19="Gr 3-5"),COUNTA(Lessons!M19:P19)&gt;0),1,0))</f>
        <v/>
      </c>
      <c r="F19" s="14">
        <f>IF(A19="","",IF(HelpLadder!E19&gt;Classes!D19,1,0))</f>
        <v/>
      </c>
      <c r="G19" s="14">
        <f>IF(A19="","",IF(Family!D19&gt;Family!C19,1,0))</f>
        <v/>
      </c>
      <c r="H19" s="14">
        <f>IF(A19="","",IF(Surveys!N19&gt;MIN(Surveys!D19,Surveys!I19),1,0))</f>
        <v/>
      </c>
      <c r="I19" s="14">
        <f>IF(A19="","",IF(AND(Surveys!I19&gt;0,Lessons!Q19&lt;5),1,0))</f>
        <v/>
      </c>
      <c r="J19" s="14">
        <f>IF(A19="","",IF(COUNTIF(Classes!$B$6:$B$45,A19)&gt;1,1,0))</f>
        <v/>
      </c>
      <c r="K19" s="14">
        <f>IF(A19="","",SUM(B19:J19))</f>
        <v/>
      </c>
    </row>
    <row r="20">
      <c r="A20" s="12">
        <f>IF(Classes!B20="","",Classes!B20)</f>
        <v/>
      </c>
      <c r="B20" s="14">
        <f>IF(A20="","",IF(OR(Classes!C20="",Classes!D20=""),1,0))</f>
        <v/>
      </c>
      <c r="C20" s="14">
        <f>IF(A20="","",IF(OR(AND(Surveys!D20&lt;&gt;"",Surveys!D20&gt;Classes!D20),AND(Surveys!I20&lt;&gt;"",Surveys!I20&gt;Classes!D20)),1,0))</f>
        <v/>
      </c>
      <c r="D20" s="14">
        <f>IF(A20="","",IF(OR(MAX(Surveys!E20:H20)&gt;Surveys!D20,MAX(Surveys!J20:M20)&gt;Surveys!I20),1,0))</f>
        <v/>
      </c>
      <c r="E20" s="14">
        <f>IF(A20="","",IF(AND(OR(Classes!C20="Gr K-2",Classes!C20="Gr 3-5"),COUNTA(Lessons!M20:P20)&gt;0),1,0))</f>
        <v/>
      </c>
      <c r="F20" s="14">
        <f>IF(A20="","",IF(HelpLadder!E20&gt;Classes!D20,1,0))</f>
        <v/>
      </c>
      <c r="G20" s="14">
        <f>IF(A20="","",IF(Family!D20&gt;Family!C20,1,0))</f>
        <v/>
      </c>
      <c r="H20" s="14">
        <f>IF(A20="","",IF(Surveys!N20&gt;MIN(Surveys!D20,Surveys!I20),1,0))</f>
        <v/>
      </c>
      <c r="I20" s="14">
        <f>IF(A20="","",IF(AND(Surveys!I20&gt;0,Lessons!Q20&lt;5),1,0))</f>
        <v/>
      </c>
      <c r="J20" s="14">
        <f>IF(A20="","",IF(COUNTIF(Classes!$B$6:$B$45,A20)&gt;1,1,0))</f>
        <v/>
      </c>
      <c r="K20" s="14">
        <f>IF(A20="","",SUM(B20:J20))</f>
        <v/>
      </c>
    </row>
    <row r="21">
      <c r="A21" s="12">
        <f>IF(Classes!B21="","",Classes!B21)</f>
        <v/>
      </c>
      <c r="B21" s="14">
        <f>IF(A21="","",IF(OR(Classes!C21="",Classes!D21=""),1,0))</f>
        <v/>
      </c>
      <c r="C21" s="14">
        <f>IF(A21="","",IF(OR(AND(Surveys!D21&lt;&gt;"",Surveys!D21&gt;Classes!D21),AND(Surveys!I21&lt;&gt;"",Surveys!I21&gt;Classes!D21)),1,0))</f>
        <v/>
      </c>
      <c r="D21" s="14">
        <f>IF(A21="","",IF(OR(MAX(Surveys!E21:H21)&gt;Surveys!D21,MAX(Surveys!J21:M21)&gt;Surveys!I21),1,0))</f>
        <v/>
      </c>
      <c r="E21" s="14">
        <f>IF(A21="","",IF(AND(OR(Classes!C21="Gr K-2",Classes!C21="Gr 3-5"),COUNTA(Lessons!M21:P21)&gt;0),1,0))</f>
        <v/>
      </c>
      <c r="F21" s="14">
        <f>IF(A21="","",IF(HelpLadder!E21&gt;Classes!D21,1,0))</f>
        <v/>
      </c>
      <c r="G21" s="14">
        <f>IF(A21="","",IF(Family!D21&gt;Family!C21,1,0))</f>
        <v/>
      </c>
      <c r="H21" s="14">
        <f>IF(A21="","",IF(Surveys!N21&gt;MIN(Surveys!D21,Surveys!I21),1,0))</f>
        <v/>
      </c>
      <c r="I21" s="14">
        <f>IF(A21="","",IF(AND(Surveys!I21&gt;0,Lessons!Q21&lt;5),1,0))</f>
        <v/>
      </c>
      <c r="J21" s="14">
        <f>IF(A21="","",IF(COUNTIF(Classes!$B$6:$B$45,A21)&gt;1,1,0))</f>
        <v/>
      </c>
      <c r="K21" s="14">
        <f>IF(A21="","",SUM(B21:J21))</f>
        <v/>
      </c>
    </row>
    <row r="22">
      <c r="A22" s="12">
        <f>IF(Classes!B22="","",Classes!B22)</f>
        <v/>
      </c>
      <c r="B22" s="14">
        <f>IF(A22="","",IF(OR(Classes!C22="",Classes!D22=""),1,0))</f>
        <v/>
      </c>
      <c r="C22" s="14">
        <f>IF(A22="","",IF(OR(AND(Surveys!D22&lt;&gt;"",Surveys!D22&gt;Classes!D22),AND(Surveys!I22&lt;&gt;"",Surveys!I22&gt;Classes!D22)),1,0))</f>
        <v/>
      </c>
      <c r="D22" s="14">
        <f>IF(A22="","",IF(OR(MAX(Surveys!E22:H22)&gt;Surveys!D22,MAX(Surveys!J22:M22)&gt;Surveys!I22),1,0))</f>
        <v/>
      </c>
      <c r="E22" s="14">
        <f>IF(A22="","",IF(AND(OR(Classes!C22="Gr K-2",Classes!C22="Gr 3-5"),COUNTA(Lessons!M22:P22)&gt;0),1,0))</f>
        <v/>
      </c>
      <c r="F22" s="14">
        <f>IF(A22="","",IF(HelpLadder!E22&gt;Classes!D22,1,0))</f>
        <v/>
      </c>
      <c r="G22" s="14">
        <f>IF(A22="","",IF(Family!D22&gt;Family!C22,1,0))</f>
        <v/>
      </c>
      <c r="H22" s="14">
        <f>IF(A22="","",IF(Surveys!N22&gt;MIN(Surveys!D22,Surveys!I22),1,0))</f>
        <v/>
      </c>
      <c r="I22" s="14">
        <f>IF(A22="","",IF(AND(Surveys!I22&gt;0,Lessons!Q22&lt;5),1,0))</f>
        <v/>
      </c>
      <c r="J22" s="14">
        <f>IF(A22="","",IF(COUNTIF(Classes!$B$6:$B$45,A22)&gt;1,1,0))</f>
        <v/>
      </c>
      <c r="K22" s="14">
        <f>IF(A22="","",SUM(B22:J22))</f>
        <v/>
      </c>
    </row>
    <row r="23">
      <c r="A23" s="12">
        <f>IF(Classes!B23="","",Classes!B23)</f>
        <v/>
      </c>
      <c r="B23" s="14">
        <f>IF(A23="","",IF(OR(Classes!C23="",Classes!D23=""),1,0))</f>
        <v/>
      </c>
      <c r="C23" s="14">
        <f>IF(A23="","",IF(OR(AND(Surveys!D23&lt;&gt;"",Surveys!D23&gt;Classes!D23),AND(Surveys!I23&lt;&gt;"",Surveys!I23&gt;Classes!D23)),1,0))</f>
        <v/>
      </c>
      <c r="D23" s="14">
        <f>IF(A23="","",IF(OR(MAX(Surveys!E23:H23)&gt;Surveys!D23,MAX(Surveys!J23:M23)&gt;Surveys!I23),1,0))</f>
        <v/>
      </c>
      <c r="E23" s="14">
        <f>IF(A23="","",IF(AND(OR(Classes!C23="Gr K-2",Classes!C23="Gr 3-5"),COUNTA(Lessons!M23:P23)&gt;0),1,0))</f>
        <v/>
      </c>
      <c r="F23" s="14">
        <f>IF(A23="","",IF(HelpLadder!E23&gt;Classes!D23,1,0))</f>
        <v/>
      </c>
      <c r="G23" s="14">
        <f>IF(A23="","",IF(Family!D23&gt;Family!C23,1,0))</f>
        <v/>
      </c>
      <c r="H23" s="14">
        <f>IF(A23="","",IF(Surveys!N23&gt;MIN(Surveys!D23,Surveys!I23),1,0))</f>
        <v/>
      </c>
      <c r="I23" s="14">
        <f>IF(A23="","",IF(AND(Surveys!I23&gt;0,Lessons!Q23&lt;5),1,0))</f>
        <v/>
      </c>
      <c r="J23" s="14">
        <f>IF(A23="","",IF(COUNTIF(Classes!$B$6:$B$45,A23)&gt;1,1,0))</f>
        <v/>
      </c>
      <c r="K23" s="14">
        <f>IF(A23="","",SUM(B23:J23))</f>
        <v/>
      </c>
    </row>
    <row r="24">
      <c r="A24" s="12">
        <f>IF(Classes!B24="","",Classes!B24)</f>
        <v/>
      </c>
      <c r="B24" s="14">
        <f>IF(A24="","",IF(OR(Classes!C24="",Classes!D24=""),1,0))</f>
        <v/>
      </c>
      <c r="C24" s="14">
        <f>IF(A24="","",IF(OR(AND(Surveys!D24&lt;&gt;"",Surveys!D24&gt;Classes!D24),AND(Surveys!I24&lt;&gt;"",Surveys!I24&gt;Classes!D24)),1,0))</f>
        <v/>
      </c>
      <c r="D24" s="14">
        <f>IF(A24="","",IF(OR(MAX(Surveys!E24:H24)&gt;Surveys!D24,MAX(Surveys!J24:M24)&gt;Surveys!I24),1,0))</f>
        <v/>
      </c>
      <c r="E24" s="14">
        <f>IF(A24="","",IF(AND(OR(Classes!C24="Gr K-2",Classes!C24="Gr 3-5"),COUNTA(Lessons!M24:P24)&gt;0),1,0))</f>
        <v/>
      </c>
      <c r="F24" s="14">
        <f>IF(A24="","",IF(HelpLadder!E24&gt;Classes!D24,1,0))</f>
        <v/>
      </c>
      <c r="G24" s="14">
        <f>IF(A24="","",IF(Family!D24&gt;Family!C24,1,0))</f>
        <v/>
      </c>
      <c r="H24" s="14">
        <f>IF(A24="","",IF(Surveys!N24&gt;MIN(Surveys!D24,Surveys!I24),1,0))</f>
        <v/>
      </c>
      <c r="I24" s="14">
        <f>IF(A24="","",IF(AND(Surveys!I24&gt;0,Lessons!Q24&lt;5),1,0))</f>
        <v/>
      </c>
      <c r="J24" s="14">
        <f>IF(A24="","",IF(COUNTIF(Classes!$B$6:$B$45,A24)&gt;1,1,0))</f>
        <v/>
      </c>
      <c r="K24" s="14">
        <f>IF(A24="","",SUM(B24:J24))</f>
        <v/>
      </c>
    </row>
    <row r="25">
      <c r="A25" s="12">
        <f>IF(Classes!B25="","",Classes!B25)</f>
        <v/>
      </c>
      <c r="B25" s="14">
        <f>IF(A25="","",IF(OR(Classes!C25="",Classes!D25=""),1,0))</f>
        <v/>
      </c>
      <c r="C25" s="14">
        <f>IF(A25="","",IF(OR(AND(Surveys!D25&lt;&gt;"",Surveys!D25&gt;Classes!D25),AND(Surveys!I25&lt;&gt;"",Surveys!I25&gt;Classes!D25)),1,0))</f>
        <v/>
      </c>
      <c r="D25" s="14">
        <f>IF(A25="","",IF(OR(MAX(Surveys!E25:H25)&gt;Surveys!D25,MAX(Surveys!J25:M25)&gt;Surveys!I25),1,0))</f>
        <v/>
      </c>
      <c r="E25" s="14">
        <f>IF(A25="","",IF(AND(OR(Classes!C25="Gr K-2",Classes!C25="Gr 3-5"),COUNTA(Lessons!M25:P25)&gt;0),1,0))</f>
        <v/>
      </c>
      <c r="F25" s="14">
        <f>IF(A25="","",IF(HelpLadder!E25&gt;Classes!D25,1,0))</f>
        <v/>
      </c>
      <c r="G25" s="14">
        <f>IF(A25="","",IF(Family!D25&gt;Family!C25,1,0))</f>
        <v/>
      </c>
      <c r="H25" s="14">
        <f>IF(A25="","",IF(Surveys!N25&gt;MIN(Surveys!D25,Surveys!I25),1,0))</f>
        <v/>
      </c>
      <c r="I25" s="14">
        <f>IF(A25="","",IF(AND(Surveys!I25&gt;0,Lessons!Q25&lt;5),1,0))</f>
        <v/>
      </c>
      <c r="J25" s="14">
        <f>IF(A25="","",IF(COUNTIF(Classes!$B$6:$B$45,A25)&gt;1,1,0))</f>
        <v/>
      </c>
      <c r="K25" s="14">
        <f>IF(A25="","",SUM(B25:J25))</f>
        <v/>
      </c>
    </row>
    <row r="26">
      <c r="A26" s="12">
        <f>IF(Classes!B26="","",Classes!B26)</f>
        <v/>
      </c>
      <c r="B26" s="14">
        <f>IF(A26="","",IF(OR(Classes!C26="",Classes!D26=""),1,0))</f>
        <v/>
      </c>
      <c r="C26" s="14">
        <f>IF(A26="","",IF(OR(AND(Surveys!D26&lt;&gt;"",Surveys!D26&gt;Classes!D26),AND(Surveys!I26&lt;&gt;"",Surveys!I26&gt;Classes!D26)),1,0))</f>
        <v/>
      </c>
      <c r="D26" s="14">
        <f>IF(A26="","",IF(OR(MAX(Surveys!E26:H26)&gt;Surveys!D26,MAX(Surveys!J26:M26)&gt;Surveys!I26),1,0))</f>
        <v/>
      </c>
      <c r="E26" s="14">
        <f>IF(A26="","",IF(AND(OR(Classes!C26="Gr K-2",Classes!C26="Gr 3-5"),COUNTA(Lessons!M26:P26)&gt;0),1,0))</f>
        <v/>
      </c>
      <c r="F26" s="14">
        <f>IF(A26="","",IF(HelpLadder!E26&gt;Classes!D26,1,0))</f>
        <v/>
      </c>
      <c r="G26" s="14">
        <f>IF(A26="","",IF(Family!D26&gt;Family!C26,1,0))</f>
        <v/>
      </c>
      <c r="H26" s="14">
        <f>IF(A26="","",IF(Surveys!N26&gt;MIN(Surveys!D26,Surveys!I26),1,0))</f>
        <v/>
      </c>
      <c r="I26" s="14">
        <f>IF(A26="","",IF(AND(Surveys!I26&gt;0,Lessons!Q26&lt;5),1,0))</f>
        <v/>
      </c>
      <c r="J26" s="14">
        <f>IF(A26="","",IF(COUNTIF(Classes!$B$6:$B$45,A26)&gt;1,1,0))</f>
        <v/>
      </c>
      <c r="K26" s="14">
        <f>IF(A26="","",SUM(B26:J26))</f>
        <v/>
      </c>
    </row>
    <row r="27">
      <c r="A27" s="12">
        <f>IF(Classes!B27="","",Classes!B27)</f>
        <v/>
      </c>
      <c r="B27" s="14">
        <f>IF(A27="","",IF(OR(Classes!C27="",Classes!D27=""),1,0))</f>
        <v/>
      </c>
      <c r="C27" s="14">
        <f>IF(A27="","",IF(OR(AND(Surveys!D27&lt;&gt;"",Surveys!D27&gt;Classes!D27),AND(Surveys!I27&lt;&gt;"",Surveys!I27&gt;Classes!D27)),1,0))</f>
        <v/>
      </c>
      <c r="D27" s="14">
        <f>IF(A27="","",IF(OR(MAX(Surveys!E27:H27)&gt;Surveys!D27,MAX(Surveys!J27:M27)&gt;Surveys!I27),1,0))</f>
        <v/>
      </c>
      <c r="E27" s="14">
        <f>IF(A27="","",IF(AND(OR(Classes!C27="Gr K-2",Classes!C27="Gr 3-5"),COUNTA(Lessons!M27:P27)&gt;0),1,0))</f>
        <v/>
      </c>
      <c r="F27" s="14">
        <f>IF(A27="","",IF(HelpLadder!E27&gt;Classes!D27,1,0))</f>
        <v/>
      </c>
      <c r="G27" s="14">
        <f>IF(A27="","",IF(Family!D27&gt;Family!C27,1,0))</f>
        <v/>
      </c>
      <c r="H27" s="14">
        <f>IF(A27="","",IF(Surveys!N27&gt;MIN(Surveys!D27,Surveys!I27),1,0))</f>
        <v/>
      </c>
      <c r="I27" s="14">
        <f>IF(A27="","",IF(AND(Surveys!I27&gt;0,Lessons!Q27&lt;5),1,0))</f>
        <v/>
      </c>
      <c r="J27" s="14">
        <f>IF(A27="","",IF(COUNTIF(Classes!$B$6:$B$45,A27)&gt;1,1,0))</f>
        <v/>
      </c>
      <c r="K27" s="14">
        <f>IF(A27="","",SUM(B27:J27))</f>
        <v/>
      </c>
    </row>
    <row r="28">
      <c r="A28" s="12">
        <f>IF(Classes!B28="","",Classes!B28)</f>
        <v/>
      </c>
      <c r="B28" s="14">
        <f>IF(A28="","",IF(OR(Classes!C28="",Classes!D28=""),1,0))</f>
        <v/>
      </c>
      <c r="C28" s="14">
        <f>IF(A28="","",IF(OR(AND(Surveys!D28&lt;&gt;"",Surveys!D28&gt;Classes!D28),AND(Surveys!I28&lt;&gt;"",Surveys!I28&gt;Classes!D28)),1,0))</f>
        <v/>
      </c>
      <c r="D28" s="14">
        <f>IF(A28="","",IF(OR(MAX(Surveys!E28:H28)&gt;Surveys!D28,MAX(Surveys!J28:M28)&gt;Surveys!I28),1,0))</f>
        <v/>
      </c>
      <c r="E28" s="14">
        <f>IF(A28="","",IF(AND(OR(Classes!C28="Gr K-2",Classes!C28="Gr 3-5"),COUNTA(Lessons!M28:P28)&gt;0),1,0))</f>
        <v/>
      </c>
      <c r="F28" s="14">
        <f>IF(A28="","",IF(HelpLadder!E28&gt;Classes!D28,1,0))</f>
        <v/>
      </c>
      <c r="G28" s="14">
        <f>IF(A28="","",IF(Family!D28&gt;Family!C28,1,0))</f>
        <v/>
      </c>
      <c r="H28" s="14">
        <f>IF(A28="","",IF(Surveys!N28&gt;MIN(Surveys!D28,Surveys!I28),1,0))</f>
        <v/>
      </c>
      <c r="I28" s="14">
        <f>IF(A28="","",IF(AND(Surveys!I28&gt;0,Lessons!Q28&lt;5),1,0))</f>
        <v/>
      </c>
      <c r="J28" s="14">
        <f>IF(A28="","",IF(COUNTIF(Classes!$B$6:$B$45,A28)&gt;1,1,0))</f>
        <v/>
      </c>
      <c r="K28" s="14">
        <f>IF(A28="","",SUM(B28:J28))</f>
        <v/>
      </c>
    </row>
    <row r="29">
      <c r="A29" s="12">
        <f>IF(Classes!B29="","",Classes!B29)</f>
        <v/>
      </c>
      <c r="B29" s="14">
        <f>IF(A29="","",IF(OR(Classes!C29="",Classes!D29=""),1,0))</f>
        <v/>
      </c>
      <c r="C29" s="14">
        <f>IF(A29="","",IF(OR(AND(Surveys!D29&lt;&gt;"",Surveys!D29&gt;Classes!D29),AND(Surveys!I29&lt;&gt;"",Surveys!I29&gt;Classes!D29)),1,0))</f>
        <v/>
      </c>
      <c r="D29" s="14">
        <f>IF(A29="","",IF(OR(MAX(Surveys!E29:H29)&gt;Surveys!D29,MAX(Surveys!J29:M29)&gt;Surveys!I29),1,0))</f>
        <v/>
      </c>
      <c r="E29" s="14">
        <f>IF(A29="","",IF(AND(OR(Classes!C29="Gr K-2",Classes!C29="Gr 3-5"),COUNTA(Lessons!M29:P29)&gt;0),1,0))</f>
        <v/>
      </c>
      <c r="F29" s="14">
        <f>IF(A29="","",IF(HelpLadder!E29&gt;Classes!D29,1,0))</f>
        <v/>
      </c>
      <c r="G29" s="14">
        <f>IF(A29="","",IF(Family!D29&gt;Family!C29,1,0))</f>
        <v/>
      </c>
      <c r="H29" s="14">
        <f>IF(A29="","",IF(Surveys!N29&gt;MIN(Surveys!D29,Surveys!I29),1,0))</f>
        <v/>
      </c>
      <c r="I29" s="14">
        <f>IF(A29="","",IF(AND(Surveys!I29&gt;0,Lessons!Q29&lt;5),1,0))</f>
        <v/>
      </c>
      <c r="J29" s="14">
        <f>IF(A29="","",IF(COUNTIF(Classes!$B$6:$B$45,A29)&gt;1,1,0))</f>
        <v/>
      </c>
      <c r="K29" s="14">
        <f>IF(A29="","",SUM(B29:J29))</f>
        <v/>
      </c>
    </row>
    <row r="30">
      <c r="A30" s="12">
        <f>IF(Classes!B30="","",Classes!B30)</f>
        <v/>
      </c>
      <c r="B30" s="14">
        <f>IF(A30="","",IF(OR(Classes!C30="",Classes!D30=""),1,0))</f>
        <v/>
      </c>
      <c r="C30" s="14">
        <f>IF(A30="","",IF(OR(AND(Surveys!D30&lt;&gt;"",Surveys!D30&gt;Classes!D30),AND(Surveys!I30&lt;&gt;"",Surveys!I30&gt;Classes!D30)),1,0))</f>
        <v/>
      </c>
      <c r="D30" s="14">
        <f>IF(A30="","",IF(OR(MAX(Surveys!E30:H30)&gt;Surveys!D30,MAX(Surveys!J30:M30)&gt;Surveys!I30),1,0))</f>
        <v/>
      </c>
      <c r="E30" s="14">
        <f>IF(A30="","",IF(AND(OR(Classes!C30="Gr K-2",Classes!C30="Gr 3-5"),COUNTA(Lessons!M30:P30)&gt;0),1,0))</f>
        <v/>
      </c>
      <c r="F30" s="14">
        <f>IF(A30="","",IF(HelpLadder!E30&gt;Classes!D30,1,0))</f>
        <v/>
      </c>
      <c r="G30" s="14">
        <f>IF(A30="","",IF(Family!D30&gt;Family!C30,1,0))</f>
        <v/>
      </c>
      <c r="H30" s="14">
        <f>IF(A30="","",IF(Surveys!N30&gt;MIN(Surveys!D30,Surveys!I30),1,0))</f>
        <v/>
      </c>
      <c r="I30" s="14">
        <f>IF(A30="","",IF(AND(Surveys!I30&gt;0,Lessons!Q30&lt;5),1,0))</f>
        <v/>
      </c>
      <c r="J30" s="14">
        <f>IF(A30="","",IF(COUNTIF(Classes!$B$6:$B$45,A30)&gt;1,1,0))</f>
        <v/>
      </c>
      <c r="K30" s="14">
        <f>IF(A30="","",SUM(B30:J30))</f>
        <v/>
      </c>
    </row>
    <row r="31">
      <c r="A31" s="12">
        <f>IF(Classes!B31="","",Classes!B31)</f>
        <v/>
      </c>
      <c r="B31" s="14">
        <f>IF(A31="","",IF(OR(Classes!C31="",Classes!D31=""),1,0))</f>
        <v/>
      </c>
      <c r="C31" s="14">
        <f>IF(A31="","",IF(OR(AND(Surveys!D31&lt;&gt;"",Surveys!D31&gt;Classes!D31),AND(Surveys!I31&lt;&gt;"",Surveys!I31&gt;Classes!D31)),1,0))</f>
        <v/>
      </c>
      <c r="D31" s="14">
        <f>IF(A31="","",IF(OR(MAX(Surveys!E31:H31)&gt;Surveys!D31,MAX(Surveys!J31:M31)&gt;Surveys!I31),1,0))</f>
        <v/>
      </c>
      <c r="E31" s="14">
        <f>IF(A31="","",IF(AND(OR(Classes!C31="Gr K-2",Classes!C31="Gr 3-5"),COUNTA(Lessons!M31:P31)&gt;0),1,0))</f>
        <v/>
      </c>
      <c r="F31" s="14">
        <f>IF(A31="","",IF(HelpLadder!E31&gt;Classes!D31,1,0))</f>
        <v/>
      </c>
      <c r="G31" s="14">
        <f>IF(A31="","",IF(Family!D31&gt;Family!C31,1,0))</f>
        <v/>
      </c>
      <c r="H31" s="14">
        <f>IF(A31="","",IF(Surveys!N31&gt;MIN(Surveys!D31,Surveys!I31),1,0))</f>
        <v/>
      </c>
      <c r="I31" s="14">
        <f>IF(A31="","",IF(AND(Surveys!I31&gt;0,Lessons!Q31&lt;5),1,0))</f>
        <v/>
      </c>
      <c r="J31" s="14">
        <f>IF(A31="","",IF(COUNTIF(Classes!$B$6:$B$45,A31)&gt;1,1,0))</f>
        <v/>
      </c>
      <c r="K31" s="14">
        <f>IF(A31="","",SUM(B31:J31))</f>
        <v/>
      </c>
    </row>
    <row r="32">
      <c r="A32" s="12">
        <f>IF(Classes!B32="","",Classes!B32)</f>
        <v/>
      </c>
      <c r="B32" s="14">
        <f>IF(A32="","",IF(OR(Classes!C32="",Classes!D32=""),1,0))</f>
        <v/>
      </c>
      <c r="C32" s="14">
        <f>IF(A32="","",IF(OR(AND(Surveys!D32&lt;&gt;"",Surveys!D32&gt;Classes!D32),AND(Surveys!I32&lt;&gt;"",Surveys!I32&gt;Classes!D32)),1,0))</f>
        <v/>
      </c>
      <c r="D32" s="14">
        <f>IF(A32="","",IF(OR(MAX(Surveys!E32:H32)&gt;Surveys!D32,MAX(Surveys!J32:M32)&gt;Surveys!I32),1,0))</f>
        <v/>
      </c>
      <c r="E32" s="14">
        <f>IF(A32="","",IF(AND(OR(Classes!C32="Gr K-2",Classes!C32="Gr 3-5"),COUNTA(Lessons!M32:P32)&gt;0),1,0))</f>
        <v/>
      </c>
      <c r="F32" s="14">
        <f>IF(A32="","",IF(HelpLadder!E32&gt;Classes!D32,1,0))</f>
        <v/>
      </c>
      <c r="G32" s="14">
        <f>IF(A32="","",IF(Family!D32&gt;Family!C32,1,0))</f>
        <v/>
      </c>
      <c r="H32" s="14">
        <f>IF(A32="","",IF(Surveys!N32&gt;MIN(Surveys!D32,Surveys!I32),1,0))</f>
        <v/>
      </c>
      <c r="I32" s="14">
        <f>IF(A32="","",IF(AND(Surveys!I32&gt;0,Lessons!Q32&lt;5),1,0))</f>
        <v/>
      </c>
      <c r="J32" s="14">
        <f>IF(A32="","",IF(COUNTIF(Classes!$B$6:$B$45,A32)&gt;1,1,0))</f>
        <v/>
      </c>
      <c r="K32" s="14">
        <f>IF(A32="","",SUM(B32:J32))</f>
        <v/>
      </c>
    </row>
    <row r="33">
      <c r="A33" s="12">
        <f>IF(Classes!B33="","",Classes!B33)</f>
        <v/>
      </c>
      <c r="B33" s="14">
        <f>IF(A33="","",IF(OR(Classes!C33="",Classes!D33=""),1,0))</f>
        <v/>
      </c>
      <c r="C33" s="14">
        <f>IF(A33="","",IF(OR(AND(Surveys!D33&lt;&gt;"",Surveys!D33&gt;Classes!D33),AND(Surveys!I33&lt;&gt;"",Surveys!I33&gt;Classes!D33)),1,0))</f>
        <v/>
      </c>
      <c r="D33" s="14">
        <f>IF(A33="","",IF(OR(MAX(Surveys!E33:H33)&gt;Surveys!D33,MAX(Surveys!J33:M33)&gt;Surveys!I33),1,0))</f>
        <v/>
      </c>
      <c r="E33" s="14">
        <f>IF(A33="","",IF(AND(OR(Classes!C33="Gr K-2",Classes!C33="Gr 3-5"),COUNTA(Lessons!M33:P33)&gt;0),1,0))</f>
        <v/>
      </c>
      <c r="F33" s="14">
        <f>IF(A33="","",IF(HelpLadder!E33&gt;Classes!D33,1,0))</f>
        <v/>
      </c>
      <c r="G33" s="14">
        <f>IF(A33="","",IF(Family!D33&gt;Family!C33,1,0))</f>
        <v/>
      </c>
      <c r="H33" s="14">
        <f>IF(A33="","",IF(Surveys!N33&gt;MIN(Surveys!D33,Surveys!I33),1,0))</f>
        <v/>
      </c>
      <c r="I33" s="14">
        <f>IF(A33="","",IF(AND(Surveys!I33&gt;0,Lessons!Q33&lt;5),1,0))</f>
        <v/>
      </c>
      <c r="J33" s="14">
        <f>IF(A33="","",IF(COUNTIF(Classes!$B$6:$B$45,A33)&gt;1,1,0))</f>
        <v/>
      </c>
      <c r="K33" s="14">
        <f>IF(A33="","",SUM(B33:J33))</f>
        <v/>
      </c>
    </row>
    <row r="34">
      <c r="A34" s="12">
        <f>IF(Classes!B34="","",Classes!B34)</f>
        <v/>
      </c>
      <c r="B34" s="14">
        <f>IF(A34="","",IF(OR(Classes!C34="",Classes!D34=""),1,0))</f>
        <v/>
      </c>
      <c r="C34" s="14">
        <f>IF(A34="","",IF(OR(AND(Surveys!D34&lt;&gt;"",Surveys!D34&gt;Classes!D34),AND(Surveys!I34&lt;&gt;"",Surveys!I34&gt;Classes!D34)),1,0))</f>
        <v/>
      </c>
      <c r="D34" s="14">
        <f>IF(A34="","",IF(OR(MAX(Surveys!E34:H34)&gt;Surveys!D34,MAX(Surveys!J34:M34)&gt;Surveys!I34),1,0))</f>
        <v/>
      </c>
      <c r="E34" s="14">
        <f>IF(A34="","",IF(AND(OR(Classes!C34="Gr K-2",Classes!C34="Gr 3-5"),COUNTA(Lessons!M34:P34)&gt;0),1,0))</f>
        <v/>
      </c>
      <c r="F34" s="14">
        <f>IF(A34="","",IF(HelpLadder!E34&gt;Classes!D34,1,0))</f>
        <v/>
      </c>
      <c r="G34" s="14">
        <f>IF(A34="","",IF(Family!D34&gt;Family!C34,1,0))</f>
        <v/>
      </c>
      <c r="H34" s="14">
        <f>IF(A34="","",IF(Surveys!N34&gt;MIN(Surveys!D34,Surveys!I34),1,0))</f>
        <v/>
      </c>
      <c r="I34" s="14">
        <f>IF(A34="","",IF(AND(Surveys!I34&gt;0,Lessons!Q34&lt;5),1,0))</f>
        <v/>
      </c>
      <c r="J34" s="14">
        <f>IF(A34="","",IF(COUNTIF(Classes!$B$6:$B$45,A34)&gt;1,1,0))</f>
        <v/>
      </c>
      <c r="K34" s="14">
        <f>IF(A34="","",SUM(B34:J34))</f>
        <v/>
      </c>
    </row>
    <row r="35">
      <c r="A35" s="12">
        <f>IF(Classes!B35="","",Classes!B35)</f>
        <v/>
      </c>
      <c r="B35" s="14">
        <f>IF(A35="","",IF(OR(Classes!C35="",Classes!D35=""),1,0))</f>
        <v/>
      </c>
      <c r="C35" s="14">
        <f>IF(A35="","",IF(OR(AND(Surveys!D35&lt;&gt;"",Surveys!D35&gt;Classes!D35),AND(Surveys!I35&lt;&gt;"",Surveys!I35&gt;Classes!D35)),1,0))</f>
        <v/>
      </c>
      <c r="D35" s="14">
        <f>IF(A35="","",IF(OR(MAX(Surveys!E35:H35)&gt;Surveys!D35,MAX(Surveys!J35:M35)&gt;Surveys!I35),1,0))</f>
        <v/>
      </c>
      <c r="E35" s="14">
        <f>IF(A35="","",IF(AND(OR(Classes!C35="Gr K-2",Classes!C35="Gr 3-5"),COUNTA(Lessons!M35:P35)&gt;0),1,0))</f>
        <v/>
      </c>
      <c r="F35" s="14">
        <f>IF(A35="","",IF(HelpLadder!E35&gt;Classes!D35,1,0))</f>
        <v/>
      </c>
      <c r="G35" s="14">
        <f>IF(A35="","",IF(Family!D35&gt;Family!C35,1,0))</f>
        <v/>
      </c>
      <c r="H35" s="14">
        <f>IF(A35="","",IF(Surveys!N35&gt;MIN(Surveys!D35,Surveys!I35),1,0))</f>
        <v/>
      </c>
      <c r="I35" s="14">
        <f>IF(A35="","",IF(AND(Surveys!I35&gt;0,Lessons!Q35&lt;5),1,0))</f>
        <v/>
      </c>
      <c r="J35" s="14">
        <f>IF(A35="","",IF(COUNTIF(Classes!$B$6:$B$45,A35)&gt;1,1,0))</f>
        <v/>
      </c>
      <c r="K35" s="14">
        <f>IF(A35="","",SUM(B35:J35))</f>
        <v/>
      </c>
    </row>
    <row r="36">
      <c r="A36" s="12">
        <f>IF(Classes!B36="","",Classes!B36)</f>
        <v/>
      </c>
      <c r="B36" s="14">
        <f>IF(A36="","",IF(OR(Classes!C36="",Classes!D36=""),1,0))</f>
        <v/>
      </c>
      <c r="C36" s="14">
        <f>IF(A36="","",IF(OR(AND(Surveys!D36&lt;&gt;"",Surveys!D36&gt;Classes!D36),AND(Surveys!I36&lt;&gt;"",Surveys!I36&gt;Classes!D36)),1,0))</f>
        <v/>
      </c>
      <c r="D36" s="14">
        <f>IF(A36="","",IF(OR(MAX(Surveys!E36:H36)&gt;Surveys!D36,MAX(Surveys!J36:M36)&gt;Surveys!I36),1,0))</f>
        <v/>
      </c>
      <c r="E36" s="14">
        <f>IF(A36="","",IF(AND(OR(Classes!C36="Gr K-2",Classes!C36="Gr 3-5"),COUNTA(Lessons!M36:P36)&gt;0),1,0))</f>
        <v/>
      </c>
      <c r="F36" s="14">
        <f>IF(A36="","",IF(HelpLadder!E36&gt;Classes!D36,1,0))</f>
        <v/>
      </c>
      <c r="G36" s="14">
        <f>IF(A36="","",IF(Family!D36&gt;Family!C36,1,0))</f>
        <v/>
      </c>
      <c r="H36" s="14">
        <f>IF(A36="","",IF(Surveys!N36&gt;MIN(Surveys!D36,Surveys!I36),1,0))</f>
        <v/>
      </c>
      <c r="I36" s="14">
        <f>IF(A36="","",IF(AND(Surveys!I36&gt;0,Lessons!Q36&lt;5),1,0))</f>
        <v/>
      </c>
      <c r="J36" s="14">
        <f>IF(A36="","",IF(COUNTIF(Classes!$B$6:$B$45,A36)&gt;1,1,0))</f>
        <v/>
      </c>
      <c r="K36" s="14">
        <f>IF(A36="","",SUM(B36:J36))</f>
        <v/>
      </c>
    </row>
    <row r="37">
      <c r="A37" s="12">
        <f>IF(Classes!B37="","",Classes!B37)</f>
        <v/>
      </c>
      <c r="B37" s="14">
        <f>IF(A37="","",IF(OR(Classes!C37="",Classes!D37=""),1,0))</f>
        <v/>
      </c>
      <c r="C37" s="14">
        <f>IF(A37="","",IF(OR(AND(Surveys!D37&lt;&gt;"",Surveys!D37&gt;Classes!D37),AND(Surveys!I37&lt;&gt;"",Surveys!I37&gt;Classes!D37)),1,0))</f>
        <v/>
      </c>
      <c r="D37" s="14">
        <f>IF(A37="","",IF(OR(MAX(Surveys!E37:H37)&gt;Surveys!D37,MAX(Surveys!J37:M37)&gt;Surveys!I37),1,0))</f>
        <v/>
      </c>
      <c r="E37" s="14">
        <f>IF(A37="","",IF(AND(OR(Classes!C37="Gr K-2",Classes!C37="Gr 3-5"),COUNTA(Lessons!M37:P37)&gt;0),1,0))</f>
        <v/>
      </c>
      <c r="F37" s="14">
        <f>IF(A37="","",IF(HelpLadder!E37&gt;Classes!D37,1,0))</f>
        <v/>
      </c>
      <c r="G37" s="14">
        <f>IF(A37="","",IF(Family!D37&gt;Family!C37,1,0))</f>
        <v/>
      </c>
      <c r="H37" s="14">
        <f>IF(A37="","",IF(Surveys!N37&gt;MIN(Surveys!D37,Surveys!I37),1,0))</f>
        <v/>
      </c>
      <c r="I37" s="14">
        <f>IF(A37="","",IF(AND(Surveys!I37&gt;0,Lessons!Q37&lt;5),1,0))</f>
        <v/>
      </c>
      <c r="J37" s="14">
        <f>IF(A37="","",IF(COUNTIF(Classes!$B$6:$B$45,A37)&gt;1,1,0))</f>
        <v/>
      </c>
      <c r="K37" s="14">
        <f>IF(A37="","",SUM(B37:J37))</f>
        <v/>
      </c>
    </row>
    <row r="38">
      <c r="A38" s="12">
        <f>IF(Classes!B38="","",Classes!B38)</f>
        <v/>
      </c>
      <c r="B38" s="14">
        <f>IF(A38="","",IF(OR(Classes!C38="",Classes!D38=""),1,0))</f>
        <v/>
      </c>
      <c r="C38" s="14">
        <f>IF(A38="","",IF(OR(AND(Surveys!D38&lt;&gt;"",Surveys!D38&gt;Classes!D38),AND(Surveys!I38&lt;&gt;"",Surveys!I38&gt;Classes!D38)),1,0))</f>
        <v/>
      </c>
      <c r="D38" s="14">
        <f>IF(A38="","",IF(OR(MAX(Surveys!E38:H38)&gt;Surveys!D38,MAX(Surveys!J38:M38)&gt;Surveys!I38),1,0))</f>
        <v/>
      </c>
      <c r="E38" s="14">
        <f>IF(A38="","",IF(AND(OR(Classes!C38="Gr K-2",Classes!C38="Gr 3-5"),COUNTA(Lessons!M38:P38)&gt;0),1,0))</f>
        <v/>
      </c>
      <c r="F38" s="14">
        <f>IF(A38="","",IF(HelpLadder!E38&gt;Classes!D38,1,0))</f>
        <v/>
      </c>
      <c r="G38" s="14">
        <f>IF(A38="","",IF(Family!D38&gt;Family!C38,1,0))</f>
        <v/>
      </c>
      <c r="H38" s="14">
        <f>IF(A38="","",IF(Surveys!N38&gt;MIN(Surveys!D38,Surveys!I38),1,0))</f>
        <v/>
      </c>
      <c r="I38" s="14">
        <f>IF(A38="","",IF(AND(Surveys!I38&gt;0,Lessons!Q38&lt;5),1,0))</f>
        <v/>
      </c>
      <c r="J38" s="14">
        <f>IF(A38="","",IF(COUNTIF(Classes!$B$6:$B$45,A38)&gt;1,1,0))</f>
        <v/>
      </c>
      <c r="K38" s="14">
        <f>IF(A38="","",SUM(B38:J38))</f>
        <v/>
      </c>
    </row>
    <row r="39">
      <c r="A39" s="12">
        <f>IF(Classes!B39="","",Classes!B39)</f>
        <v/>
      </c>
      <c r="B39" s="14">
        <f>IF(A39="","",IF(OR(Classes!C39="",Classes!D39=""),1,0))</f>
        <v/>
      </c>
      <c r="C39" s="14">
        <f>IF(A39="","",IF(OR(AND(Surveys!D39&lt;&gt;"",Surveys!D39&gt;Classes!D39),AND(Surveys!I39&lt;&gt;"",Surveys!I39&gt;Classes!D39)),1,0))</f>
        <v/>
      </c>
      <c r="D39" s="14">
        <f>IF(A39="","",IF(OR(MAX(Surveys!E39:H39)&gt;Surveys!D39,MAX(Surveys!J39:M39)&gt;Surveys!I39),1,0))</f>
        <v/>
      </c>
      <c r="E39" s="14">
        <f>IF(A39="","",IF(AND(OR(Classes!C39="Gr K-2",Classes!C39="Gr 3-5"),COUNTA(Lessons!M39:P39)&gt;0),1,0))</f>
        <v/>
      </c>
      <c r="F39" s="14">
        <f>IF(A39="","",IF(HelpLadder!E39&gt;Classes!D39,1,0))</f>
        <v/>
      </c>
      <c r="G39" s="14">
        <f>IF(A39="","",IF(Family!D39&gt;Family!C39,1,0))</f>
        <v/>
      </c>
      <c r="H39" s="14">
        <f>IF(A39="","",IF(Surveys!N39&gt;MIN(Surveys!D39,Surveys!I39),1,0))</f>
        <v/>
      </c>
      <c r="I39" s="14">
        <f>IF(A39="","",IF(AND(Surveys!I39&gt;0,Lessons!Q39&lt;5),1,0))</f>
        <v/>
      </c>
      <c r="J39" s="14">
        <f>IF(A39="","",IF(COUNTIF(Classes!$B$6:$B$45,A39)&gt;1,1,0))</f>
        <v/>
      </c>
      <c r="K39" s="14">
        <f>IF(A39="","",SUM(B39:J39))</f>
        <v/>
      </c>
    </row>
    <row r="40">
      <c r="A40" s="12">
        <f>IF(Classes!B40="","",Classes!B40)</f>
        <v/>
      </c>
      <c r="B40" s="14">
        <f>IF(A40="","",IF(OR(Classes!C40="",Classes!D40=""),1,0))</f>
        <v/>
      </c>
      <c r="C40" s="14">
        <f>IF(A40="","",IF(OR(AND(Surveys!D40&lt;&gt;"",Surveys!D40&gt;Classes!D40),AND(Surveys!I40&lt;&gt;"",Surveys!I40&gt;Classes!D40)),1,0))</f>
        <v/>
      </c>
      <c r="D40" s="14">
        <f>IF(A40="","",IF(OR(MAX(Surveys!E40:H40)&gt;Surveys!D40,MAX(Surveys!J40:M40)&gt;Surveys!I40),1,0))</f>
        <v/>
      </c>
      <c r="E40" s="14">
        <f>IF(A40="","",IF(AND(OR(Classes!C40="Gr K-2",Classes!C40="Gr 3-5"),COUNTA(Lessons!M40:P40)&gt;0),1,0))</f>
        <v/>
      </c>
      <c r="F40" s="14">
        <f>IF(A40="","",IF(HelpLadder!E40&gt;Classes!D40,1,0))</f>
        <v/>
      </c>
      <c r="G40" s="14">
        <f>IF(A40="","",IF(Family!D40&gt;Family!C40,1,0))</f>
        <v/>
      </c>
      <c r="H40" s="14">
        <f>IF(A40="","",IF(Surveys!N40&gt;MIN(Surveys!D40,Surveys!I40),1,0))</f>
        <v/>
      </c>
      <c r="I40" s="14">
        <f>IF(A40="","",IF(AND(Surveys!I40&gt;0,Lessons!Q40&lt;5),1,0))</f>
        <v/>
      </c>
      <c r="J40" s="14">
        <f>IF(A40="","",IF(COUNTIF(Classes!$B$6:$B$45,A40)&gt;1,1,0))</f>
        <v/>
      </c>
      <c r="K40" s="14">
        <f>IF(A40="","",SUM(B40:J40))</f>
        <v/>
      </c>
    </row>
    <row r="41">
      <c r="A41" s="12">
        <f>IF(Classes!B41="","",Classes!B41)</f>
        <v/>
      </c>
      <c r="B41" s="14">
        <f>IF(A41="","",IF(OR(Classes!C41="",Classes!D41=""),1,0))</f>
        <v/>
      </c>
      <c r="C41" s="14">
        <f>IF(A41="","",IF(OR(AND(Surveys!D41&lt;&gt;"",Surveys!D41&gt;Classes!D41),AND(Surveys!I41&lt;&gt;"",Surveys!I41&gt;Classes!D41)),1,0))</f>
        <v/>
      </c>
      <c r="D41" s="14">
        <f>IF(A41="","",IF(OR(MAX(Surveys!E41:H41)&gt;Surveys!D41,MAX(Surveys!J41:M41)&gt;Surveys!I41),1,0))</f>
        <v/>
      </c>
      <c r="E41" s="14">
        <f>IF(A41="","",IF(AND(OR(Classes!C41="Gr K-2",Classes!C41="Gr 3-5"),COUNTA(Lessons!M41:P41)&gt;0),1,0))</f>
        <v/>
      </c>
      <c r="F41" s="14">
        <f>IF(A41="","",IF(HelpLadder!E41&gt;Classes!D41,1,0))</f>
        <v/>
      </c>
      <c r="G41" s="14">
        <f>IF(A41="","",IF(Family!D41&gt;Family!C41,1,0))</f>
        <v/>
      </c>
      <c r="H41" s="14">
        <f>IF(A41="","",IF(Surveys!N41&gt;MIN(Surveys!D41,Surveys!I41),1,0))</f>
        <v/>
      </c>
      <c r="I41" s="14">
        <f>IF(A41="","",IF(AND(Surveys!I41&gt;0,Lessons!Q41&lt;5),1,0))</f>
        <v/>
      </c>
      <c r="J41" s="14">
        <f>IF(A41="","",IF(COUNTIF(Classes!$B$6:$B$45,A41)&gt;1,1,0))</f>
        <v/>
      </c>
      <c r="K41" s="14">
        <f>IF(A41="","",SUM(B41:J41))</f>
        <v/>
      </c>
    </row>
    <row r="42">
      <c r="A42" s="12">
        <f>IF(Classes!B42="","",Classes!B42)</f>
        <v/>
      </c>
      <c r="B42" s="14">
        <f>IF(A42="","",IF(OR(Classes!C42="",Classes!D42=""),1,0))</f>
        <v/>
      </c>
      <c r="C42" s="14">
        <f>IF(A42="","",IF(OR(AND(Surveys!D42&lt;&gt;"",Surveys!D42&gt;Classes!D42),AND(Surveys!I42&lt;&gt;"",Surveys!I42&gt;Classes!D42)),1,0))</f>
        <v/>
      </c>
      <c r="D42" s="14">
        <f>IF(A42="","",IF(OR(MAX(Surveys!E42:H42)&gt;Surveys!D42,MAX(Surveys!J42:M42)&gt;Surveys!I42),1,0))</f>
        <v/>
      </c>
      <c r="E42" s="14">
        <f>IF(A42="","",IF(AND(OR(Classes!C42="Gr K-2",Classes!C42="Gr 3-5"),COUNTA(Lessons!M42:P42)&gt;0),1,0))</f>
        <v/>
      </c>
      <c r="F42" s="14">
        <f>IF(A42="","",IF(HelpLadder!E42&gt;Classes!D42,1,0))</f>
        <v/>
      </c>
      <c r="G42" s="14">
        <f>IF(A42="","",IF(Family!D42&gt;Family!C42,1,0))</f>
        <v/>
      </c>
      <c r="H42" s="14">
        <f>IF(A42="","",IF(Surveys!N42&gt;MIN(Surveys!D42,Surveys!I42),1,0))</f>
        <v/>
      </c>
      <c r="I42" s="14">
        <f>IF(A42="","",IF(AND(Surveys!I42&gt;0,Lessons!Q42&lt;5),1,0))</f>
        <v/>
      </c>
      <c r="J42" s="14">
        <f>IF(A42="","",IF(COUNTIF(Classes!$B$6:$B$45,A42)&gt;1,1,0))</f>
        <v/>
      </c>
      <c r="K42" s="14">
        <f>IF(A42="","",SUM(B42:J42))</f>
        <v/>
      </c>
    </row>
    <row r="43">
      <c r="A43" s="12">
        <f>IF(Classes!B43="","",Classes!B43)</f>
        <v/>
      </c>
      <c r="B43" s="14">
        <f>IF(A43="","",IF(OR(Classes!C43="",Classes!D43=""),1,0))</f>
        <v/>
      </c>
      <c r="C43" s="14">
        <f>IF(A43="","",IF(OR(AND(Surveys!D43&lt;&gt;"",Surveys!D43&gt;Classes!D43),AND(Surveys!I43&lt;&gt;"",Surveys!I43&gt;Classes!D43)),1,0))</f>
        <v/>
      </c>
      <c r="D43" s="14">
        <f>IF(A43="","",IF(OR(MAX(Surveys!E43:H43)&gt;Surveys!D43,MAX(Surveys!J43:M43)&gt;Surveys!I43),1,0))</f>
        <v/>
      </c>
      <c r="E43" s="14">
        <f>IF(A43="","",IF(AND(OR(Classes!C43="Gr K-2",Classes!C43="Gr 3-5"),COUNTA(Lessons!M43:P43)&gt;0),1,0))</f>
        <v/>
      </c>
      <c r="F43" s="14">
        <f>IF(A43="","",IF(HelpLadder!E43&gt;Classes!D43,1,0))</f>
        <v/>
      </c>
      <c r="G43" s="14">
        <f>IF(A43="","",IF(Family!D43&gt;Family!C43,1,0))</f>
        <v/>
      </c>
      <c r="H43" s="14">
        <f>IF(A43="","",IF(Surveys!N43&gt;MIN(Surveys!D43,Surveys!I43),1,0))</f>
        <v/>
      </c>
      <c r="I43" s="14">
        <f>IF(A43="","",IF(AND(Surveys!I43&gt;0,Lessons!Q43&lt;5),1,0))</f>
        <v/>
      </c>
      <c r="J43" s="14">
        <f>IF(A43="","",IF(COUNTIF(Classes!$B$6:$B$45,A43)&gt;1,1,0))</f>
        <v/>
      </c>
      <c r="K43" s="14">
        <f>IF(A43="","",SUM(B43:J43))</f>
        <v/>
      </c>
    </row>
    <row r="44">
      <c r="A44" s="12">
        <f>IF(Classes!B44="","",Classes!B44)</f>
        <v/>
      </c>
      <c r="B44" s="14">
        <f>IF(A44="","",IF(OR(Classes!C44="",Classes!D44=""),1,0))</f>
        <v/>
      </c>
      <c r="C44" s="14">
        <f>IF(A44="","",IF(OR(AND(Surveys!D44&lt;&gt;"",Surveys!D44&gt;Classes!D44),AND(Surveys!I44&lt;&gt;"",Surveys!I44&gt;Classes!D44)),1,0))</f>
        <v/>
      </c>
      <c r="D44" s="14">
        <f>IF(A44="","",IF(OR(MAX(Surveys!E44:H44)&gt;Surveys!D44,MAX(Surveys!J44:M44)&gt;Surveys!I44),1,0))</f>
        <v/>
      </c>
      <c r="E44" s="14">
        <f>IF(A44="","",IF(AND(OR(Classes!C44="Gr K-2",Classes!C44="Gr 3-5"),COUNTA(Lessons!M44:P44)&gt;0),1,0))</f>
        <v/>
      </c>
      <c r="F44" s="14">
        <f>IF(A44="","",IF(HelpLadder!E44&gt;Classes!D44,1,0))</f>
        <v/>
      </c>
      <c r="G44" s="14">
        <f>IF(A44="","",IF(Family!D44&gt;Family!C44,1,0))</f>
        <v/>
      </c>
      <c r="H44" s="14">
        <f>IF(A44="","",IF(Surveys!N44&gt;MIN(Surveys!D44,Surveys!I44),1,0))</f>
        <v/>
      </c>
      <c r="I44" s="14">
        <f>IF(A44="","",IF(AND(Surveys!I44&gt;0,Lessons!Q44&lt;5),1,0))</f>
        <v/>
      </c>
      <c r="J44" s="14">
        <f>IF(A44="","",IF(COUNTIF(Classes!$B$6:$B$45,A44)&gt;1,1,0))</f>
        <v/>
      </c>
      <c r="K44" s="14">
        <f>IF(A44="","",SUM(B44:J44))</f>
        <v/>
      </c>
    </row>
    <row r="45">
      <c r="A45" s="12">
        <f>IF(Classes!B45="","",Classes!B45)</f>
        <v/>
      </c>
      <c r="B45" s="14">
        <f>IF(A45="","",IF(OR(Classes!C45="",Classes!D45=""),1,0))</f>
        <v/>
      </c>
      <c r="C45" s="14">
        <f>IF(A45="","",IF(OR(AND(Surveys!D45&lt;&gt;"",Surveys!D45&gt;Classes!D45),AND(Surveys!I45&lt;&gt;"",Surveys!I45&gt;Classes!D45)),1,0))</f>
        <v/>
      </c>
      <c r="D45" s="14">
        <f>IF(A45="","",IF(OR(MAX(Surveys!E45:H45)&gt;Surveys!D45,MAX(Surveys!J45:M45)&gt;Surveys!I45),1,0))</f>
        <v/>
      </c>
      <c r="E45" s="14">
        <f>IF(A45="","",IF(AND(OR(Classes!C45="Gr K-2",Classes!C45="Gr 3-5"),COUNTA(Lessons!M45:P45)&gt;0),1,0))</f>
        <v/>
      </c>
      <c r="F45" s="14">
        <f>IF(A45="","",IF(HelpLadder!E45&gt;Classes!D45,1,0))</f>
        <v/>
      </c>
      <c r="G45" s="14">
        <f>IF(A45="","",IF(Family!D45&gt;Family!C45,1,0))</f>
        <v/>
      </c>
      <c r="H45" s="14">
        <f>IF(A45="","",IF(Surveys!N45&gt;MIN(Surveys!D45,Surveys!I45),1,0))</f>
        <v/>
      </c>
      <c r="I45" s="14">
        <f>IF(A45="","",IF(AND(Surveys!I45&gt;0,Lessons!Q45&lt;5),1,0))</f>
        <v/>
      </c>
      <c r="J45" s="14">
        <f>IF(A45="","",IF(COUNTIF(Classes!$B$6:$B$45,A45)&gt;1,1,0))</f>
        <v/>
      </c>
      <c r="K45" s="14">
        <f>IF(A45="","",SUM(B45:J45))</f>
        <v/>
      </c>
    </row>
  </sheetData>
  <sheetProtection selectLockedCells="0" selectUnlockedCells="0" sheet="1" objects="0" insertRows="1" insertHyperlinks="1" autoFilter="0" scenarios="0" formatColumns="0" deleteColumns="1" insertColumns="1" pivotTables="1" deleteRows="1" formatCells="1" formatRows="0" sort="0"/>
  <mergeCells count="2">
    <mergeCell ref="A2:K2"/>
    <mergeCell ref="A3:K3"/>
  </mergeCells>
  <conditionalFormatting sqref="B6:K45">
    <cfRule type="cellIs" priority="1" operator="greaterThan" dxfId="0">
      <formula>0</formula>
    </cfRule>
  </conditionalFormatting>
  <conditionalFormatting sqref="F4">
    <cfRule type="cellIs" priority="2" operator="greaterThan" dxfId="6">
      <formula>0</formula>
    </cfRule>
  </conditionalFormatting>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27"/>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8" customWidth="1" min="6" max="6"/>
  </cols>
  <sheetData>
    <row r="1">
      <c r="A1" s="5" t="inlineStr">
        <is>
          <t>Chart data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Values behind the Dashboard charts. #N/A is deliberate: it tells a chart to skip a value that is blank or suppressed because the group is small.</t>
        </is>
      </c>
    </row>
    <row r="5" ht="36" customHeight="1">
      <c r="A5" s="11" t="inlineStr">
        <is>
          <t>Band</t>
        </is>
      </c>
      <c r="B5" s="11" t="inlineStr">
        <is>
          <t>Core lesson completion</t>
        </is>
      </c>
      <c r="C5" s="11" t="inlineStr">
        <is>
          <t>Tell-Readiness before</t>
        </is>
      </c>
      <c r="D5" s="11" t="inlineStr">
        <is>
          <t>Tell-Readiness after</t>
        </is>
      </c>
      <c r="E5" s="11" t="inlineStr">
        <is>
          <t>Family reply rate</t>
        </is>
      </c>
      <c r="F5" s="11" t="inlineStr">
        <is>
          <t>Practiced first sentence aloud</t>
        </is>
      </c>
    </row>
    <row r="6">
      <c r="A6" s="12" t="inlineStr">
        <is>
          <t>Gr K-2</t>
        </is>
      </c>
      <c r="B6" s="15">
        <f>IF(ISNUMBER(Summary!B9),Summary!B9,NA())</f>
        <v/>
      </c>
      <c r="C6" s="15">
        <f>IF(ISNUMBER(Summary!B17),Summary!B17,NA())</f>
        <v/>
      </c>
      <c r="D6" s="15">
        <f>IF(ISNUMBER(Summary!B18),Summary!B18,NA())</f>
        <v/>
      </c>
      <c r="E6" s="15">
        <f>IF(ISNUMBER(Summary!B37),Summary!B37,NA())</f>
        <v/>
      </c>
      <c r="F6" s="15">
        <f>IF(ISNUMBER(Summary!B13),Summary!B13,NA())</f>
        <v/>
      </c>
    </row>
    <row r="7">
      <c r="A7" s="12" t="inlineStr">
        <is>
          <t>Gr 3-5</t>
        </is>
      </c>
      <c r="B7" s="15">
        <f>IF(ISNUMBER(Summary!C9),Summary!C9,NA())</f>
        <v/>
      </c>
      <c r="C7" s="15">
        <f>IF(ISNUMBER(Summary!C17),Summary!C17,NA())</f>
        <v/>
      </c>
      <c r="D7" s="15">
        <f>IF(ISNUMBER(Summary!C18),Summary!C18,NA())</f>
        <v/>
      </c>
      <c r="E7" s="15">
        <f>IF(ISNUMBER(Summary!C37),Summary!C37,NA())</f>
        <v/>
      </c>
      <c r="F7" s="15">
        <f>IF(ISNUMBER(Summary!C13),Summary!C13,NA())</f>
        <v/>
      </c>
    </row>
    <row r="8">
      <c r="A8" s="12" t="inlineStr">
        <is>
          <t>Gr 6-8</t>
        </is>
      </c>
      <c r="B8" s="15">
        <f>IF(ISNUMBER(Summary!D9),Summary!D9,NA())</f>
        <v/>
      </c>
      <c r="C8" s="15">
        <f>IF(ISNUMBER(Summary!D17),Summary!D17,NA())</f>
        <v/>
      </c>
      <c r="D8" s="15">
        <f>IF(ISNUMBER(Summary!D18),Summary!D18,NA())</f>
        <v/>
      </c>
      <c r="E8" s="15">
        <f>IF(ISNUMBER(Summary!D37),Summary!D37,NA())</f>
        <v/>
      </c>
      <c r="F8" s="15">
        <f>IF(ISNUMBER(Summary!D13),Summary!D13,NA())</f>
        <v/>
      </c>
    </row>
    <row r="9">
      <c r="A9" s="12" t="inlineStr">
        <is>
          <t>Gr 9-12</t>
        </is>
      </c>
      <c r="B9" s="15">
        <f>IF(ISNUMBER(Summary!E9),Summary!E9,NA())</f>
        <v/>
      </c>
      <c r="C9" s="15">
        <f>IF(ISNUMBER(Summary!E17),Summary!E17,NA())</f>
        <v/>
      </c>
      <c r="D9" s="15">
        <f>IF(ISNUMBER(Summary!E18),Summary!E18,NA())</f>
        <v/>
      </c>
      <c r="E9" s="15">
        <f>IF(ISNUMBER(Summary!E37),Summary!E37,NA())</f>
        <v/>
      </c>
      <c r="F9" s="15">
        <f>IF(ISNUMBER(Summary!E13),Summary!E13,NA())</f>
        <v/>
      </c>
    </row>
    <row r="12" ht="36" customHeight="1">
      <c r="A12" s="11" t="inlineStr">
        <is>
          <t>Sensitive lesson</t>
        </is>
      </c>
      <c r="B12" s="11" t="inlineStr">
        <is>
          <t>Opt-out requests (count)</t>
        </is>
      </c>
      <c r="C12" s="11" t="inlineStr">
        <is>
          <t>Sessions taught (count)</t>
        </is>
      </c>
    </row>
    <row r="13">
      <c r="A13" s="12" t="inlineStr">
        <is>
          <t>Gr K-2 | L6 Online Friends vs. Real Friends</t>
        </is>
      </c>
      <c r="B13" s="14">
        <f>SUMIFS(Sensitive!$K$6:$K$125,Sensitive!$C$6:$C$125,A13)</f>
        <v/>
      </c>
      <c r="C13" s="14">
        <f>COUNTIF(Sensitive!$C$6:$C$125,A13)</f>
        <v/>
      </c>
    </row>
    <row r="14">
      <c r="A14" s="12" t="inlineStr">
        <is>
          <t>Gr K-2 | L9 My Body Is Mine</t>
        </is>
      </c>
      <c r="B14" s="14">
        <f>SUMIFS(Sensitive!$K$6:$K$125,Sensitive!$C$6:$C$125,A14)</f>
        <v/>
      </c>
      <c r="C14" s="14">
        <f>COUNTIF(Sensitive!$C$6:$C$125,A14)</f>
        <v/>
      </c>
    </row>
    <row r="15">
      <c r="A15" s="12" t="inlineStr">
        <is>
          <t>Gr 3-5 | L1 The Help Ladder</t>
        </is>
      </c>
      <c r="B15" s="14">
        <f>SUMIFS(Sensitive!$K$6:$K$125,Sensitive!$C$6:$C$125,A15)</f>
        <v/>
      </c>
      <c r="C15" s="14">
        <f>COUNTIF(Sensitive!$C$6:$C$125,A15)</f>
        <v/>
      </c>
    </row>
    <row r="16">
      <c r="A16" s="12" t="inlineStr">
        <is>
          <t>Gr 3-5 | L6 Game Chat Red Flags</t>
        </is>
      </c>
      <c r="B16" s="14">
        <f>SUMIFS(Sensitive!$K$6:$K$125,Sensitive!$C$6:$C$125,A16)</f>
        <v/>
      </c>
      <c r="C16" s="14">
        <f>COUNTIF(Sensitive!$C$6:$C$125,A16)</f>
        <v/>
      </c>
    </row>
    <row r="17">
      <c r="A17" s="12" t="inlineStr">
        <is>
          <t>Gr 6-8 | L1 Help Ladder: Real Practice</t>
        </is>
      </c>
      <c r="B17" s="14">
        <f>SUMIFS(Sensitive!$K$6:$K$125,Sensitive!$C$6:$C$125,A17)</f>
        <v/>
      </c>
      <c r="C17" s="14">
        <f>COUNTIF(Sensitive!$C$6:$C$125,A17)</f>
        <v/>
      </c>
    </row>
    <row r="18">
      <c r="A18" s="12" t="inlineStr">
        <is>
          <t>Gr 6-8 | L6 Grooming Patterns</t>
        </is>
      </c>
      <c r="B18" s="14">
        <f>SUMIFS(Sensitive!$K$6:$K$125,Sensitive!$C$6:$C$125,A18)</f>
        <v/>
      </c>
      <c r="C18" s="14">
        <f>COUNTIF(Sensitive!$C$6:$C$125,A18)</f>
        <v/>
      </c>
    </row>
    <row r="19">
      <c r="A19" s="12" t="inlineStr">
        <is>
          <t>Gr 6-8 | L7 Pressure Online: Response Drill</t>
        </is>
      </c>
      <c r="B19" s="14">
        <f>SUMIFS(Sensitive!$K$6:$K$125,Sensitive!$C$6:$C$125,A19)</f>
        <v/>
      </c>
      <c r="C19" s="14">
        <f>COUNTIF(Sensitive!$C$6:$C$125,A19)</f>
        <v/>
      </c>
    </row>
    <row r="20">
      <c r="A20" s="12" t="inlineStr">
        <is>
          <t>Gr 6-8 | L8 Fakes That Hurt</t>
        </is>
      </c>
      <c r="B20" s="14">
        <f>SUMIFS(Sensitive!$K$6:$K$125,Sensitive!$C$6:$C$125,A20)</f>
        <v/>
      </c>
      <c r="C20" s="14">
        <f>COUNTIF(Sensitive!$C$6:$C$125,A20)</f>
        <v/>
      </c>
    </row>
    <row r="21">
      <c r="A21" s="12" t="inlineStr">
        <is>
          <t>Gr 6-8 | P1 Work, Pressure and Promises Online</t>
        </is>
      </c>
      <c r="B21" s="14">
        <f>SUMIFS(Sensitive!$K$6:$K$125,Sensitive!$C$6:$C$125,A21)</f>
        <v/>
      </c>
      <c r="C21" s="14">
        <f>COUNTIF(Sensitive!$C$6:$C$125,A21)</f>
        <v/>
      </c>
    </row>
    <row r="22">
      <c r="A22" s="12" t="inlineStr">
        <is>
          <t>Gr 6-8 | P2 Scroll Science</t>
        </is>
      </c>
      <c r="B22" s="14">
        <f>SUMIFS(Sensitive!$K$6:$K$125,Sensitive!$C$6:$C$125,A22)</f>
        <v/>
      </c>
      <c r="C22" s="14">
        <f>COUNTIF(Sensitive!$C$6:$C$125,A22)</f>
        <v/>
      </c>
    </row>
    <row r="23">
      <c r="A23" s="12" t="inlineStr">
        <is>
          <t>Gr 9-12 | L5 Sextortion and Image Abuse</t>
        </is>
      </c>
      <c r="B23" s="14">
        <f>SUMIFS(Sensitive!$K$6:$K$125,Sensitive!$C$6:$C$125,A23)</f>
        <v/>
      </c>
      <c r="C23" s="14">
        <f>COUNTIF(Sensitive!$C$6:$C$125,A23)</f>
        <v/>
      </c>
    </row>
    <row r="24">
      <c r="A24" s="12" t="inlineStr">
        <is>
          <t>Gr 9-12 | L7 Coercion in Relationships Online</t>
        </is>
      </c>
      <c r="B24" s="14">
        <f>SUMIFS(Sensitive!$K$6:$K$125,Sensitive!$C$6:$C$125,A24)</f>
        <v/>
      </c>
      <c r="C24" s="14">
        <f>COUNTIF(Sensitive!$C$6:$C$125,A24)</f>
        <v/>
      </c>
    </row>
    <row r="25">
      <c r="A25" s="12" t="inlineStr">
        <is>
          <t>Gr 9-12 | L8 Be the Helper</t>
        </is>
      </c>
      <c r="B25" s="14">
        <f>SUMIFS(Sensitive!$K$6:$K$125,Sensitive!$C$6:$C$125,A25)</f>
        <v/>
      </c>
      <c r="C25" s="14">
        <f>COUNTIF(Sensitive!$C$6:$C$125,A25)</f>
        <v/>
      </c>
    </row>
    <row r="26">
      <c r="A26" s="12" t="inlineStr">
        <is>
          <t>Gr 9-12 | P1 Recruitment Online</t>
        </is>
      </c>
      <c r="B26" s="14">
        <f>SUMIFS(Sensitive!$K$6:$K$125,Sensitive!$C$6:$C$125,A26)</f>
        <v/>
      </c>
      <c r="C26" s="14">
        <f>COUNTIF(Sensitive!$C$6:$C$125,A26)</f>
        <v/>
      </c>
    </row>
    <row r="27">
      <c r="A27" s="12" t="inlineStr">
        <is>
          <t>Gr 9-12 | P2 Mind, Mood, and the Scroll</t>
        </is>
      </c>
      <c r="B27" s="14">
        <f>SUMIFS(Sensitive!$K$6:$K$125,Sensitive!$C$6:$C$125,A27)</f>
        <v/>
      </c>
      <c r="C27" s="14">
        <f>COUNTIF(Sensitive!$C$6:$C$125,A27)</f>
        <v/>
      </c>
    </row>
  </sheetData>
  <sheetProtection selectLockedCells="0" selectUnlockedCells="0" sheet="1" objects="0" insertRows="1" insertHyperlinks="1" autoFilter="0" scenarios="0" formatColumns="0" deleteColumns="1" insertColumns="1" pivotTables="1" deleteRows="1" formatCells="1" formatRows="0" sort="0"/>
  <mergeCells count="2">
    <mergeCell ref="A3:H3"/>
    <mergeCell ref="A2:H2"/>
  </mergeCell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selection activeCell="A1" sqref="A1"/>
    </sheetView>
  </sheetViews>
  <sheetFormatPr baseColWidth="8" defaultRowHeight="15"/>
  <cols>
    <col width="30" customWidth="1" min="1" max="1"/>
    <col width="22" customWidth="1" min="2" max="2"/>
    <col width="22" customWidth="1" min="3" max="3"/>
    <col width="28" customWidth="1" min="4" max="4"/>
    <col width="44" customWidth="1" min="5" max="5"/>
    <col width="18" customWidth="1" min="6" max="6"/>
    <col width="18" customWidth="1" min="7" max="7"/>
    <col width="18" customWidth="1" min="8" max="8"/>
    <col width="18" customWidth="1" min="9" max="9"/>
    <col width="18" customWidth="1" min="10" max="10"/>
    <col width="18" customWidth="1" min="11" max="11"/>
    <col width="6" customWidth="1" min="12" max="12"/>
  </cols>
  <sheetData>
    <row r="1">
      <c r="A1" s="5" t="inlineStr">
        <is>
          <t>Lists and lesson titles   [EXAMPLE DATA: made up, not a real school]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Drop-down lists and the lesson titles used by the Sensitive sheet. Titles follow the kit's slide files; confirm against your edition.</t>
        </is>
      </c>
    </row>
    <row r="5">
      <c r="A5" s="11" t="inlineStr">
        <is>
          <t>Bands</t>
        </is>
      </c>
      <c r="C5" s="11" t="inlineStr">
        <is>
          <t>Lesson status</t>
        </is>
      </c>
      <c r="D5" s="11" t="inlineStr">
        <is>
          <t>Yes / No</t>
        </is>
      </c>
      <c r="E5" s="11" t="inlineStr">
        <is>
          <t>Sensitive lessons (pick-list)</t>
        </is>
      </c>
    </row>
    <row r="6">
      <c r="A6" s="32" t="inlineStr">
        <is>
          <t>Gr K-2</t>
        </is>
      </c>
      <c r="C6" s="32" t="inlineStr">
        <is>
          <t>Yes</t>
        </is>
      </c>
      <c r="D6" s="32" t="inlineStr">
        <is>
          <t>Yes</t>
        </is>
      </c>
      <c r="E6" s="32" t="inlineStr">
        <is>
          <t>Gr K-2 | L6 Online Friends vs. Real Friends</t>
        </is>
      </c>
    </row>
    <row r="7">
      <c r="A7" s="32" t="inlineStr">
        <is>
          <t>Gr 3-5</t>
        </is>
      </c>
      <c r="C7" s="32" t="inlineStr">
        <is>
          <t>Partial</t>
        </is>
      </c>
      <c r="D7" s="32" t="inlineStr">
        <is>
          <t>No</t>
        </is>
      </c>
      <c r="E7" s="32" t="inlineStr">
        <is>
          <t>Gr K-2 | L9 My Body Is Mine</t>
        </is>
      </c>
    </row>
    <row r="8">
      <c r="A8" s="32" t="inlineStr">
        <is>
          <t>Gr 6-8</t>
        </is>
      </c>
      <c r="C8" s="32" t="inlineStr">
        <is>
          <t>Not yet</t>
        </is>
      </c>
      <c r="E8" s="32" t="inlineStr">
        <is>
          <t>Gr 3-5 | L1 The Help Ladder</t>
        </is>
      </c>
    </row>
    <row r="9">
      <c r="A9" s="32" t="inlineStr">
        <is>
          <t>Gr 9-12</t>
        </is>
      </c>
      <c r="E9" s="32" t="inlineStr">
        <is>
          <t>Gr 3-5 | L6 Game Chat Red Flags</t>
        </is>
      </c>
    </row>
    <row r="10">
      <c r="E10" s="32" t="inlineStr">
        <is>
          <t>Gr 6-8 | L1 Help Ladder: Real Practice</t>
        </is>
      </c>
    </row>
    <row r="11">
      <c r="E11" s="32" t="inlineStr">
        <is>
          <t>Gr 6-8 | L6 Grooming Patterns</t>
        </is>
      </c>
    </row>
    <row r="12">
      <c r="E12" s="32" t="inlineStr">
        <is>
          <t>Gr 6-8 | L7 Pressure Online: Response Drill</t>
        </is>
      </c>
    </row>
    <row r="13">
      <c r="E13" s="32" t="inlineStr">
        <is>
          <t>Gr 6-8 | L8 Fakes That Hurt</t>
        </is>
      </c>
    </row>
    <row r="14">
      <c r="E14" s="32" t="inlineStr">
        <is>
          <t>Gr 6-8 | P1 Work, Pressure and Promises Online</t>
        </is>
      </c>
    </row>
    <row r="15">
      <c r="E15" s="32" t="inlineStr">
        <is>
          <t>Gr 6-8 | P2 Scroll Science</t>
        </is>
      </c>
    </row>
    <row r="16">
      <c r="E16" s="32" t="inlineStr">
        <is>
          <t>Gr 9-12 | L5 Sextortion and Image Abuse</t>
        </is>
      </c>
    </row>
    <row r="17">
      <c r="E17" s="32" t="inlineStr">
        <is>
          <t>Gr 9-12 | L7 Coercion in Relationships Online</t>
        </is>
      </c>
    </row>
    <row r="18">
      <c r="E18" s="32" t="inlineStr">
        <is>
          <t>Gr 9-12 | L8 Be the Helper</t>
        </is>
      </c>
    </row>
    <row r="19">
      <c r="E19" s="32" t="inlineStr">
        <is>
          <t>Gr 9-12 | P1 Recruitment Online</t>
        </is>
      </c>
    </row>
    <row r="20">
      <c r="E20" s="32" t="inlineStr">
        <is>
          <t>Gr 9-12 | P2 Mind, Mood, and the Scroll</t>
        </is>
      </c>
    </row>
    <row r="21"/>
    <row r="22"/>
    <row r="23"/>
    <row r="24">
      <c r="A24" s="30" t="inlineStr">
        <is>
          <t>Lesson titles and sensitive flags (1 = sensitive: counselor heads-up and family pre-notice)</t>
        </is>
      </c>
    </row>
    <row r="25">
      <c r="A25" s="11" t="inlineStr">
        <is>
          <t>Band</t>
        </is>
      </c>
      <c r="B25" s="11" t="inlineStr">
        <is>
          <t>L1</t>
        </is>
      </c>
      <c r="C25" s="11" t="inlineStr">
        <is>
          <t>L2</t>
        </is>
      </c>
      <c r="D25" s="11" t="inlineStr">
        <is>
          <t>L3</t>
        </is>
      </c>
      <c r="E25" s="11" t="inlineStr">
        <is>
          <t>L4</t>
        </is>
      </c>
      <c r="F25" s="11" t="inlineStr">
        <is>
          <t>L5</t>
        </is>
      </c>
      <c r="G25" s="11" t="inlineStr">
        <is>
          <t>L6</t>
        </is>
      </c>
      <c r="H25" s="11" t="inlineStr">
        <is>
          <t>L7</t>
        </is>
      </c>
      <c r="I25" s="11" t="inlineStr">
        <is>
          <t>L8</t>
        </is>
      </c>
      <c r="J25" s="11" t="inlineStr">
        <is>
          <t>L9</t>
        </is>
      </c>
      <c r="K25" s="11" t="inlineStr">
        <is>
          <t>L10</t>
        </is>
      </c>
    </row>
    <row r="26">
      <c r="A26" s="32" t="inlineStr">
        <is>
          <t>Gr K-2</t>
        </is>
      </c>
      <c r="B26" s="32" t="n">
        <v>0</v>
      </c>
      <c r="C26" s="32" t="n">
        <v>0</v>
      </c>
      <c r="D26" s="32" t="n">
        <v>0</v>
      </c>
      <c r="E26" s="32" t="n">
        <v>0</v>
      </c>
      <c r="F26" s="32" t="n">
        <v>0</v>
      </c>
      <c r="G26" s="32" t="n">
        <v>1</v>
      </c>
      <c r="H26" s="32" t="n">
        <v>0</v>
      </c>
      <c r="I26" s="32" t="n">
        <v>0</v>
      </c>
      <c r="J26" s="32" t="n">
        <v>1</v>
      </c>
      <c r="K26" s="32" t="n">
        <v>0</v>
      </c>
    </row>
    <row r="27">
      <c r="A27" s="32" t="inlineStr">
        <is>
          <t>Gr 3-5</t>
        </is>
      </c>
      <c r="B27" s="32" t="n">
        <v>1</v>
      </c>
      <c r="C27" s="32" t="n">
        <v>0</v>
      </c>
      <c r="D27" s="32" t="n">
        <v>0</v>
      </c>
      <c r="E27" s="32" t="n">
        <v>0</v>
      </c>
      <c r="F27" s="32" t="n">
        <v>0</v>
      </c>
      <c r="G27" s="32" t="n">
        <v>1</v>
      </c>
      <c r="H27" s="32" t="n">
        <v>0</v>
      </c>
      <c r="I27" s="32" t="n">
        <v>0</v>
      </c>
      <c r="J27" s="32" t="n">
        <v>0</v>
      </c>
      <c r="K27" s="32" t="n">
        <v>0</v>
      </c>
    </row>
    <row r="28">
      <c r="A28" s="32" t="inlineStr">
        <is>
          <t>Gr 6-8</t>
        </is>
      </c>
      <c r="B28" s="32" t="n">
        <v>1</v>
      </c>
      <c r="C28" s="32" t="n">
        <v>0</v>
      </c>
      <c r="D28" s="32" t="n">
        <v>0</v>
      </c>
      <c r="E28" s="32" t="n">
        <v>0</v>
      </c>
      <c r="F28" s="32" t="n">
        <v>0</v>
      </c>
      <c r="G28" s="32" t="n">
        <v>1</v>
      </c>
      <c r="H28" s="32" t="n">
        <v>1</v>
      </c>
      <c r="I28" s="32" t="n">
        <v>1</v>
      </c>
      <c r="J28" s="32" t="n">
        <v>0</v>
      </c>
      <c r="K28" s="32" t="n">
        <v>0</v>
      </c>
    </row>
    <row r="29">
      <c r="A29" s="32" t="inlineStr">
        <is>
          <t>Gr 9-12</t>
        </is>
      </c>
      <c r="B29" s="32" t="n">
        <v>0</v>
      </c>
      <c r="C29" s="32" t="n">
        <v>0</v>
      </c>
      <c r="D29" s="32" t="n">
        <v>0</v>
      </c>
      <c r="E29" s="32" t="n">
        <v>0</v>
      </c>
      <c r="F29" s="32" t="n">
        <v>1</v>
      </c>
      <c r="G29" s="32" t="n">
        <v>0</v>
      </c>
      <c r="H29" s="32" t="n">
        <v>1</v>
      </c>
      <c r="I29" s="32" t="n">
        <v>1</v>
      </c>
      <c r="J29" s="32" t="n">
        <v>0</v>
      </c>
      <c r="K29" s="32" t="n">
        <v>0</v>
      </c>
    </row>
    <row r="30"/>
    <row r="31">
      <c r="A31" s="30" t="inlineStr">
        <is>
          <t>Titles</t>
        </is>
      </c>
    </row>
    <row r="32">
      <c r="A32" s="11" t="inlineStr">
        <is>
          <t>Band</t>
        </is>
      </c>
      <c r="B32" s="11" t="inlineStr">
        <is>
          <t>L1</t>
        </is>
      </c>
      <c r="C32" s="11" t="inlineStr">
        <is>
          <t>L2</t>
        </is>
      </c>
      <c r="D32" s="11" t="inlineStr">
        <is>
          <t>L3</t>
        </is>
      </c>
      <c r="E32" s="11" t="inlineStr">
        <is>
          <t>L4</t>
        </is>
      </c>
      <c r="F32" s="11" t="inlineStr">
        <is>
          <t>L5</t>
        </is>
      </c>
      <c r="G32" s="11" t="inlineStr">
        <is>
          <t>L6</t>
        </is>
      </c>
      <c r="H32" s="11" t="inlineStr">
        <is>
          <t>L7</t>
        </is>
      </c>
      <c r="I32" s="11" t="inlineStr">
        <is>
          <t>L8</t>
        </is>
      </c>
      <c r="J32" s="11" t="inlineStr">
        <is>
          <t>L9</t>
        </is>
      </c>
      <c r="K32" s="11" t="inlineStr">
        <is>
          <t>L10</t>
        </is>
      </c>
    </row>
    <row r="33">
      <c r="A33" s="32" t="inlineStr">
        <is>
          <t>Gr K-2</t>
        </is>
      </c>
      <c r="B33" s="32" t="inlineStr">
        <is>
          <t>My Tell-Someone Team</t>
        </is>
      </c>
      <c r="C33" s="32" t="inlineStr">
        <is>
          <t>Secret Passwords</t>
        </is>
      </c>
      <c r="D33" s="32" t="inlineStr">
        <is>
          <t>Pause and Ask</t>
        </is>
      </c>
      <c r="E33" s="32" t="inlineStr">
        <is>
          <t>The Oops Button</t>
        </is>
      </c>
      <c r="F33" s="32" t="inlineStr">
        <is>
          <t>Private vs. Public</t>
        </is>
      </c>
      <c r="G33" s="32" t="inlineStr">
        <is>
          <t>Online Friends vs. Real Friends</t>
        </is>
      </c>
      <c r="H33" s="32" t="inlineStr">
        <is>
          <t>Kind Clicks</t>
        </is>
      </c>
      <c r="I33" s="32" t="inlineStr">
        <is>
          <t>Real or Pretend</t>
        </is>
      </c>
      <c r="J33" s="32" t="inlineStr">
        <is>
          <t>My Body Is Mine</t>
        </is>
      </c>
      <c r="K33" s="32" t="inlineStr">
        <is>
          <t>Screen Balance</t>
        </is>
      </c>
    </row>
    <row r="34">
      <c r="A34" s="32" t="inlineStr">
        <is>
          <t>Gr 3-5</t>
        </is>
      </c>
      <c r="B34" s="32" t="inlineStr">
        <is>
          <t>The Help Ladder</t>
        </is>
      </c>
      <c r="C34" s="32" t="inlineStr">
        <is>
          <t>Passphrase Lab</t>
        </is>
      </c>
      <c r="D34" s="32" t="inlineStr">
        <is>
          <t>Scam Spotters</t>
        </is>
      </c>
      <c r="E34" s="32" t="inlineStr">
        <is>
          <t>Secret Code Lab</t>
        </is>
      </c>
      <c r="F34" s="32" t="inlineStr">
        <is>
          <t>Data Detective</t>
        </is>
      </c>
      <c r="G34" s="32" t="inlineStr">
        <is>
          <t>Game Chat Red Flags</t>
        </is>
      </c>
      <c r="H34" s="32" t="inlineStr">
        <is>
          <t>Upstander Moves</t>
        </is>
      </c>
      <c r="I34" s="32" t="inlineStr">
        <is>
          <t>Real or Fake</t>
        </is>
      </c>
      <c r="J34" s="32" t="inlineStr">
        <is>
          <t>Family Code Word</t>
        </is>
      </c>
      <c r="K34" s="32" t="inlineStr">
        <is>
          <t>Oops Recovery</t>
        </is>
      </c>
    </row>
    <row r="35">
      <c r="A35" s="32" t="inlineStr">
        <is>
          <t>Gr 6-8</t>
        </is>
      </c>
      <c r="B35" s="32" t="inlineStr">
        <is>
          <t>Help Ladder: Real Practice</t>
        </is>
      </c>
      <c r="C35" s="32" t="inlineStr">
        <is>
          <t>Account Defense</t>
        </is>
      </c>
      <c r="D35" s="32" t="inlineStr">
        <is>
          <t>Phish Lab</t>
        </is>
      </c>
      <c r="E35" s="32" t="inlineStr">
        <is>
          <t>Footprint and Permissions</t>
        </is>
      </c>
      <c r="F35" s="32" t="inlineStr">
        <is>
          <t>Chatbots and AI Companions</t>
        </is>
      </c>
      <c r="G35" s="32" t="inlineStr">
        <is>
          <t>Grooming Patterns</t>
        </is>
      </c>
      <c r="H35" s="32" t="inlineStr">
        <is>
          <t>Pressure Online: Response Drill</t>
        </is>
      </c>
      <c r="I35" s="32" t="inlineStr">
        <is>
          <t>Fakes That Hurt</t>
        </is>
      </c>
      <c r="J35" s="32" t="inlineStr">
        <is>
          <t>Group Chat Dynamics</t>
        </is>
      </c>
      <c r="K35" s="32" t="inlineStr">
        <is>
          <t>Built to Keep You Scrolling</t>
        </is>
      </c>
    </row>
    <row r="36">
      <c r="A36" s="32" t="inlineStr">
        <is>
          <t>Gr 9-12</t>
        </is>
      </c>
      <c r="B36" s="32" t="inlineStr">
        <is>
          <t>Threat Model Yourself</t>
        </is>
      </c>
      <c r="C36" s="32" t="inlineStr">
        <is>
          <t>Credentials and Passkeys</t>
        </is>
      </c>
      <c r="D36" s="32" t="inlineStr">
        <is>
          <t>Social Engineering Case Lab</t>
        </is>
      </c>
      <c r="E36" s="32" t="inlineStr">
        <is>
          <t>Data Brokers and Location</t>
        </is>
      </c>
      <c r="F36" s="32" t="inlineStr">
        <is>
          <t>Sextortion and Image Abuse</t>
        </is>
      </c>
      <c r="G36" s="32" t="inlineStr">
        <is>
          <t>Synthetic Media and Truth</t>
        </is>
      </c>
      <c r="H36" s="32" t="inlineStr">
        <is>
          <t>Coercion in Relationships Online</t>
        </is>
      </c>
      <c r="I36" s="32" t="inlineStr">
        <is>
          <t>Be the Helper</t>
        </is>
      </c>
      <c r="J36" s="32" t="inlineStr">
        <is>
          <t>Ethics and Careers in Security</t>
        </is>
      </c>
      <c r="K36" s="32" t="inlineStr">
        <is>
          <t>Capstone: My Defense Plan</t>
        </is>
      </c>
    </row>
    <row r="37"/>
    <row r="38">
      <c r="A38" s="30" t="inlineStr">
        <is>
          <t>Plus lessons (grades 6-12). P1 and P2 are sensitive and need specialist or clinician review first.</t>
        </is>
      </c>
    </row>
    <row r="39">
      <c r="A39" s="11" t="inlineStr">
        <is>
          <t>Band</t>
        </is>
      </c>
      <c r="B39" s="11" t="inlineStr">
        <is>
          <t>P1</t>
        </is>
      </c>
      <c r="C39" s="11" t="inlineStr">
        <is>
          <t>P2</t>
        </is>
      </c>
      <c r="D39" s="11" t="inlineStr">
        <is>
          <t>P3</t>
        </is>
      </c>
      <c r="E39" s="11" t="inlineStr">
        <is>
          <t>P4</t>
        </is>
      </c>
    </row>
    <row r="40">
      <c r="A40" s="32" t="inlineStr">
        <is>
          <t>Gr 6-8</t>
        </is>
      </c>
      <c r="B40" s="32" t="inlineStr">
        <is>
          <t>Work, Pressure and Promises Online</t>
        </is>
      </c>
      <c r="C40" s="32" t="inlineStr">
        <is>
          <t>Scroll Science</t>
        </is>
      </c>
      <c r="D40" s="32" t="inlineStr">
        <is>
          <t>Fact, Fiction or Fake</t>
        </is>
      </c>
    </row>
    <row r="41">
      <c r="A41" s="32" t="inlineStr">
        <is>
          <t>Gr 9-12</t>
        </is>
      </c>
      <c r="B41" s="32" t="inlineStr">
        <is>
          <t>Recruitment Online</t>
        </is>
      </c>
      <c r="C41" s="32" t="inlineStr">
        <is>
          <t>Mind, Mood, and the Scroll</t>
        </is>
      </c>
      <c r="D41" s="32" t="inlineStr">
        <is>
          <t>Whose Goal Is It</t>
        </is>
      </c>
      <c r="E41" s="32" t="inlineStr">
        <is>
          <t>From Mean to Harmful</t>
        </is>
      </c>
    </row>
    <row r="42"/>
  </sheetData>
  <sheetProtection selectLockedCells="0" selectUnlockedCells="0" sheet="1" objects="0" insertRows="1" insertHyperlinks="1" autoFilter="0" scenarios="0" formatColumns="0" deleteColumns="1" insertColumns="1" pivotTables="1" deleteRows="1" formatCells="1" formatRows="0" sort="0"/>
  <mergeCells count="2">
    <mergeCell ref="A3:L3"/>
    <mergeCell ref="A2:L2"/>
  </mergeCell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Competence Collective (generated with openpyxl)</dc:creator>
  <dc:title xmlns:dc="http://purl.org/dc/elements/1.1/">Hackles Implementation Tracker (example)</dc:title>
  <dc:description xmlns:dc="http://purl.org/dc/elements/1.1/">Aggregate counts only. No student names or IDs. Draft tool.</dc:description>
  <dcterms:created xmlns:dcterms="http://purl.org/dc/terms/" xmlns:xsi="http://www.w3.org/2001/XMLSchema-instance" xsi:type="dcterms:W3CDTF">2026-10-05T15:42:01Z</dcterms:created>
  <dcterms:modified xmlns:dcterms="http://purl.org/dc/terms/" xmlns:xsi="http://www.w3.org/2001/XMLSchema-instance" xsi:type="dcterms:W3CDTF">2026-10-05T15:42:01Z</dcterms:modified>
</cp:coreProperties>
</file>