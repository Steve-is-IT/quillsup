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$#,##0.00"/>
  </numFmts>
  <fonts count="5">
    <font>
      <name val="Calibri"/>
      <family val="2"/>
      <color theme="1"/>
      <sz val="11"/>
      <scheme val="minor"/>
    </font>
    <font>
      <b val="1"/>
      <color rgb="002B2D42"/>
      <sz val="16"/>
    </font>
    <font>
      <i val="1"/>
      <color rgb="005A5C70"/>
      <sz val="8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2B2D42"/>
      </patternFill>
    </fill>
    <fill>
      <patternFill patternType="solid">
        <fgColor rgb="00F2EEE4"/>
      </patternFill>
    </fill>
  </fills>
  <borders count="2">
    <border>
      <left/>
      <right/>
      <top/>
      <bottom/>
      <diagonal/>
    </border>
    <border>
      <left style="thin">
        <color rgb="008C8672"/>
      </left>
      <right style="thin">
        <color rgb="008C8672"/>
      </right>
      <top style="thin">
        <color rgb="008C8672"/>
      </top>
      <bottom style="thin">
        <color rgb="008C867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2" borderId="1" applyProtection="1" pivotButton="0" quotePrefix="0" xfId="0">
      <protection locked="0" hidden="0"/>
    </xf>
    <xf numFmtId="9" fontId="0" fillId="2" borderId="1" applyProtection="1" pivotButton="0" quotePrefix="0" xfId="0">
      <protection locked="0" hidden="0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5" fontId="0" fillId="2" borderId="1" applyAlignment="1" applyProtection="1" pivotButton="0" quotePrefix="0" xfId="0">
      <alignment vertical="top" wrapText="1"/>
      <protection locked="0" hidden="0"/>
    </xf>
    <xf numFmtId="165" fontId="0" fillId="4" borderId="1" applyAlignment="1" pivotButton="0" quotePrefix="0" xfId="0">
      <alignment vertical="top" wrapText="1"/>
    </xf>
    <xf numFmtId="0" fontId="4" fillId="0" borderId="1" pivotButton="0" quotePrefix="0" xfId="0"/>
    <xf numFmtId="165" fontId="4" fillId="0" borderId="1" pivotButton="0" quotePrefix="0" xfId="0"/>
    <xf numFmtId="0" fontId="4" fillId="0" borderId="0" pivotButton="0" quotePrefix="0" xfId="0"/>
    <xf numFmtId="0" fontId="0" fillId="2" borderId="0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F4B6A6"/>
          <bgColor rgb="00F4B6A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Hackles Day cost by item: standard and low-cost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'Budget'!F5</f>
            </strRef>
          </tx>
          <spPr>
            <a:solidFill xmlns:a="http://schemas.openxmlformats.org/drawingml/2006/main">
              <a:srgbClr val="FF8A3D"/>
            </a:solidFill>
            <a:ln xmlns:a="http://schemas.openxmlformats.org/drawingml/2006/main">
              <a:prstDash val="solid"/>
            </a:ln>
          </spPr>
          <cat>
            <numRef>
              <f>'Budget'!$A$6:$A$18</f>
            </numRef>
          </cat>
          <val>
            <numRef>
              <f>'Budget'!$F$6:$F$18</f>
            </numRef>
          </val>
        </ser>
        <ser>
          <idx val="1"/>
          <order val="1"/>
          <tx>
            <strRef>
              <f>'Budget'!H5</f>
            </strRef>
          </tx>
          <spPr>
            <a:solidFill xmlns:a="http://schemas.openxmlformats.org/drawingml/2006/main">
              <a:srgbClr val="2B2D42"/>
            </a:solidFill>
            <a:ln xmlns:a="http://schemas.openxmlformats.org/drawingml/2006/main">
              <a:prstDash val="solid"/>
            </a:ln>
          </spPr>
          <cat>
            <numRef>
              <f>'Budget'!$A$6:$A$18</f>
            </numRef>
          </cat>
          <val>
            <numRef>
              <f>'Budget'!$H$6:$H$18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Dollars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2" customWidth="1" min="2" max="2"/>
  </cols>
  <sheetData>
    <row r="1">
      <c r="A1" s="1" t="inlineStr">
        <is>
          <t>Hackles Day in a Box: inputs</t>
        </is>
      </c>
    </row>
    <row r="2" ht="36" customHeight="1">
      <c r="A2" s="2" t="inlineStr">
        <is>
          <t>© 2026 Competence Collective. Lesson text and teaching materials CC BY-NC 4.0. The Hackles name, logos, characters and artwork are not covered by that license: print and share them unaltered for classroom and family use; any other use needs written permission. [VERIFY with counsel]</t>
        </is>
      </c>
    </row>
    <row r="3" ht="48" customHeight="1">
      <c r="A3" s="3" t="inlineStr">
        <is>
          <t>Type your numbers in the yellow cells. Unit costs on the Budget sheet are placeholders, not quotes: replace them with prices from your own vendors and district. Costs vary by region and year. No names or student data belong in this workbook.</t>
        </is>
      </c>
    </row>
    <row r="4">
      <c r="A4" s="4" t="inlineStr">
        <is>
          <t>Event name or date (optional)</t>
        </is>
      </c>
      <c r="B4" s="5" t="inlineStr">
        <is>
          <t>Hackles Day</t>
        </is>
      </c>
    </row>
    <row r="5">
      <c r="A5" s="4" t="inlineStr">
        <is>
          <t>Students attending</t>
        </is>
      </c>
      <c r="B5" s="5" t="n">
        <v>300</v>
      </c>
    </row>
    <row r="6">
      <c r="A6" s="4" t="inlineStr">
        <is>
          <t>Family members attending family night</t>
        </is>
      </c>
      <c r="B6" s="5" t="n">
        <v>150</v>
      </c>
    </row>
    <row r="7">
      <c r="A7" s="4" t="inlineStr">
        <is>
          <t>Volunteers and staff helping</t>
        </is>
      </c>
      <c r="B7" s="5" t="n">
        <v>12</v>
      </c>
    </row>
    <row r="8">
      <c r="A8" s="4" t="inlineStr">
        <is>
          <t>Number of stations</t>
        </is>
      </c>
      <c r="B8" s="5" t="n">
        <v>8</v>
      </c>
    </row>
    <row r="9">
      <c r="A9" s="4" t="inlineStr">
        <is>
          <t>Interpreter hours</t>
        </is>
      </c>
      <c r="B9" s="5" t="n">
        <v>4</v>
      </c>
    </row>
    <row r="10">
      <c r="A10" s="4" t="inlineStr">
        <is>
          <t>Childcare staff-hours</t>
        </is>
      </c>
      <c r="B10" s="5" t="n">
        <v>6</v>
      </c>
    </row>
    <row r="11">
      <c r="A11" s="4" t="inlineStr">
        <is>
          <t>Contingency (percent of subtotal)</t>
        </is>
      </c>
      <c r="B11" s="6" t="n">
        <v>0.1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3:D3"/>
    <mergeCell ref="A2:D2"/>
  </mergeCells>
  <dataValidations count="2">
    <dataValidation sqref="B5:B10" showDropDown="0" showInputMessage="0" showErrorMessage="1" allowBlank="0" errorTitle="Check this entry" error="Type a whole number from 0 to 10000." type="whole" operator="between">
      <formula1>0</formula1>
      <formula2>10000</formula2>
    </dataValidation>
    <dataValidation sqref="B11" showDropDown="0" showInputMessage="0" showErrorMessage="1" allowBlank="0" errorTitle="Check this entry" error="Type a value from 0% to 100%." type="decimal" operator="between">
      <formula1>0</formula1>
      <formula2>1</formula2>
    </dataValidation>
  </dataValidations>
  <pageMargins left="0.75" right="0.75" top="1" bottom="1" header="0.5" footer="0.5"/>
  <headerFooter>
    <oddHeader/>
    <oddFooter>&amp;CHackles Day in a Box. Placeholder costs.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4" customWidth="1" min="2" max="2"/>
    <col width="11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60" customWidth="1" min="11" max="11"/>
  </cols>
  <sheetData>
    <row r="1">
      <c r="A1" s="1" t="inlineStr">
        <is>
          <t>Hackles Day in a Box: budget</t>
        </is>
      </c>
    </row>
    <row r="2" ht="36" customHeight="1">
      <c r="A2" s="2" t="inlineStr">
        <is>
          <t>© 2026 Competence Collective. Lesson text and teaching materials CC BY-NC 4.0. The Hackles name, logos, characters and artwork are not covered by that license: print and share them unaltered for classroom and family use; any other use needs written permission. [VERIFY with counsel]</t>
        </is>
      </c>
    </row>
    <row r="3" ht="36" customHeight="1">
      <c r="A3" s="3" t="inlineStr">
        <is>
          <t>Yellow cells are yours to change. Unit costs are placeholders. 'Low-cost' assumes classroom supplies, volunteer help and donated items that your policy allows. Do not accept sponsorship that brands lessons or collects student data.</t>
        </is>
      </c>
    </row>
    <row r="5" ht="44" customHeight="1">
      <c r="A5" s="7" t="inlineStr">
        <is>
          <t>Item</t>
        </is>
      </c>
      <c r="B5" s="7" t="inlineStr">
        <is>
          <t>Basis</t>
        </is>
      </c>
      <c r="C5" s="7" t="inlineStr">
        <is>
          <t>Quantity</t>
        </is>
      </c>
      <c r="D5" s="7" t="inlineStr">
        <is>
          <t>Unit</t>
        </is>
      </c>
      <c r="E5" s="7" t="inlineStr">
        <is>
          <t>Standard unit cost ($)</t>
        </is>
      </c>
      <c r="F5" s="7" t="inlineStr">
        <is>
          <t>Standard total ($)</t>
        </is>
      </c>
      <c r="G5" s="7" t="inlineStr">
        <is>
          <t>Low-cost unit cost ($)</t>
        </is>
      </c>
      <c r="H5" s="7" t="inlineStr">
        <is>
          <t>Low-cost total ($)</t>
        </is>
      </c>
      <c r="I5" s="7" t="inlineStr">
        <is>
          <t>In-kind or donated ($, enter)</t>
        </is>
      </c>
      <c r="J5" s="7" t="inlineStr">
        <is>
          <t>Net standard ($)</t>
        </is>
      </c>
      <c r="K5" s="7" t="inlineStr">
        <is>
          <t>Notes</t>
        </is>
      </c>
    </row>
    <row r="6">
      <c r="A6" s="8" t="inlineStr">
        <is>
          <t>Printing: student passports</t>
        </is>
      </c>
      <c r="B6" s="8" t="inlineStr">
        <is>
          <t>4 pages per student</t>
        </is>
      </c>
      <c r="C6" s="9">
        <f>Inputs!$B$5*4</f>
        <v/>
      </c>
      <c r="D6" s="8" t="inlineStr">
        <is>
          <t>page</t>
        </is>
      </c>
      <c r="E6" s="10" t="n">
        <v>0.06</v>
      </c>
      <c r="F6" s="11">
        <f>C6*E6</f>
        <v/>
      </c>
      <c r="G6" s="10" t="n">
        <v>0.03</v>
      </c>
      <c r="H6" s="11">
        <f>C6*G6</f>
        <v/>
      </c>
      <c r="I6" s="10" t="n">
        <v>0</v>
      </c>
      <c r="J6" s="11">
        <f>F6-I6</f>
        <v/>
      </c>
      <c r="K6" s="8" t="inlineStr">
        <is>
          <t>Passport: a folded paper with a stamp space per station</t>
        </is>
      </c>
    </row>
    <row r="7">
      <c r="A7" s="8" t="inlineStr">
        <is>
          <t>Printing: family handouts</t>
        </is>
      </c>
      <c r="B7" s="8" t="inlineStr">
        <is>
          <t>6 pages per family attending</t>
        </is>
      </c>
      <c r="C7" s="9">
        <f>Inputs!$B$6*6</f>
        <v/>
      </c>
      <c r="D7" s="8" t="inlineStr">
        <is>
          <t>page</t>
        </is>
      </c>
      <c r="E7" s="10" t="n">
        <v>0.06</v>
      </c>
      <c r="F7" s="11">
        <f>C7*E7</f>
        <v/>
      </c>
      <c r="G7" s="10" t="n">
        <v>0.03</v>
      </c>
      <c r="H7" s="11">
        <f>C7*G7</f>
        <v/>
      </c>
      <c r="I7" s="10" t="n">
        <v>0</v>
      </c>
      <c r="J7" s="11">
        <f>F7-I7</f>
        <v/>
      </c>
      <c r="K7" s="8" t="inlineStr">
        <is>
          <t>Conversation starters, code word guide, tech agreement, what-to-do page</t>
        </is>
      </c>
    </row>
    <row r="8">
      <c r="A8" s="8" t="inlineStr">
        <is>
          <t>Printing: station cards, signs, hunt sheets</t>
        </is>
      </c>
      <c r="B8" s="8" t="inlineStr">
        <is>
          <t>25 pages per station</t>
        </is>
      </c>
      <c r="C8" s="9">
        <f>Inputs!$B$8*25</f>
        <v/>
      </c>
      <c r="D8" s="8" t="inlineStr">
        <is>
          <t>page</t>
        </is>
      </c>
      <c r="E8" s="10" t="n">
        <v>0.06</v>
      </c>
      <c r="F8" s="11">
        <f>C8*E8</f>
        <v/>
      </c>
      <c r="G8" s="10" t="n">
        <v>0.03</v>
      </c>
      <c r="H8" s="11">
        <f>C8*G8</f>
        <v/>
      </c>
      <c r="I8" s="10" t="n">
        <v>0</v>
      </c>
      <c r="J8" s="11">
        <f>F8-I8</f>
        <v/>
      </c>
      <c r="K8" s="8" t="inlineStr">
        <is>
          <t>Use classroom copier where allowed</t>
        </is>
      </c>
    </row>
    <row r="9">
      <c r="A9" s="8" t="inlineStr">
        <is>
          <t>Certificates (cardstock)</t>
        </is>
      </c>
      <c r="B9" s="8" t="inlineStr">
        <is>
          <t>1 per student</t>
        </is>
      </c>
      <c r="C9" s="9">
        <f>Inputs!$B$5</f>
        <v/>
      </c>
      <c r="D9" s="8" t="inlineStr">
        <is>
          <t>sheet</t>
        </is>
      </c>
      <c r="E9" s="10" t="n">
        <v>0.25</v>
      </c>
      <c r="F9" s="11">
        <f>C9*E9</f>
        <v/>
      </c>
      <c r="G9" s="10" t="n">
        <v>0.05</v>
      </c>
      <c r="H9" s="11">
        <f>C9*G9</f>
        <v/>
      </c>
      <c r="I9" s="10" t="n">
        <v>0</v>
      </c>
      <c r="J9" s="11">
        <f>F9-I9</f>
        <v/>
      </c>
      <c r="K9" s="8" t="inlineStr">
        <is>
          <t>Cardstock or plain paper</t>
        </is>
      </c>
    </row>
    <row r="10">
      <c r="A10" s="8" t="inlineStr">
        <is>
          <t>Craft and station supplies</t>
        </is>
      </c>
      <c r="B10" s="8" t="inlineStr">
        <is>
          <t>per 100 students</t>
        </is>
      </c>
      <c r="C10" s="9">
        <f>Inputs!$B$5/100</f>
        <v/>
      </c>
      <c r="D10" s="8" t="inlineStr">
        <is>
          <t>per 100</t>
        </is>
      </c>
      <c r="E10" s="10" t="n">
        <v>60</v>
      </c>
      <c r="F10" s="11">
        <f>C10*E10</f>
        <v/>
      </c>
      <c r="G10" s="10" t="n">
        <v>15</v>
      </c>
      <c r="H10" s="11">
        <f>C10*G10</f>
        <v/>
      </c>
      <c r="I10" s="10" t="n">
        <v>0</v>
      </c>
      <c r="J10" s="11">
        <f>F10-I10</f>
        <v/>
      </c>
      <c r="K10" s="8" t="inlineStr">
        <is>
          <t>Paper, markers, sticky notes, index cards, tape, timers. Use classroom stock for the low-cost column</t>
        </is>
      </c>
    </row>
    <row r="11">
      <c r="A11" s="8" t="inlineStr">
        <is>
          <t>Stamps, stickers, ribbons</t>
        </is>
      </c>
      <c r="B11" s="8" t="inlineStr">
        <is>
          <t>per student</t>
        </is>
      </c>
      <c r="C11" s="9">
        <f>Inputs!$B$5</f>
        <v/>
      </c>
      <c r="D11" s="8" t="inlineStr">
        <is>
          <t>student</t>
        </is>
      </c>
      <c r="E11" s="10" t="n">
        <v>0.4</v>
      </c>
      <c r="F11" s="11">
        <f>C11*E11</f>
        <v/>
      </c>
      <c r="G11" s="10" t="n">
        <v>0.1</v>
      </c>
      <c r="H11" s="11">
        <f>C11*G11</f>
        <v/>
      </c>
      <c r="I11" s="10" t="n">
        <v>0</v>
      </c>
      <c r="J11" s="11">
        <f>F11-I11</f>
        <v/>
      </c>
      <c r="K11" s="8" t="inlineStr">
        <is>
          <t>No sponsor branding. No items that require a sign-up</t>
        </is>
      </c>
    </row>
    <row r="12">
      <c r="A12" s="8" t="inlineStr">
        <is>
          <t>Volunteer name badges and lanyards</t>
        </is>
      </c>
      <c r="B12" s="8" t="inlineStr">
        <is>
          <t>per volunteer</t>
        </is>
      </c>
      <c r="C12" s="9">
        <f>Inputs!$B$7</f>
        <v/>
      </c>
      <c r="D12" s="8" t="inlineStr">
        <is>
          <t>volunteer</t>
        </is>
      </c>
      <c r="E12" s="10" t="n">
        <v>3</v>
      </c>
      <c r="F12" s="11">
        <f>C12*E12</f>
        <v/>
      </c>
      <c r="G12" s="10" t="n">
        <v>0</v>
      </c>
      <c r="H12" s="11">
        <f>C12*G12</f>
        <v/>
      </c>
      <c r="I12" s="10" t="n">
        <v>0</v>
      </c>
      <c r="J12" s="11">
        <f>F12-I12</f>
        <v/>
      </c>
      <c r="K12" s="8" t="inlineStr">
        <is>
          <t>Reuse school lanyards in the low-cost column</t>
        </is>
      </c>
    </row>
    <row r="13">
      <c r="A13" s="8" t="inlineStr">
        <is>
          <t>Food and drink (family corner)</t>
        </is>
      </c>
      <c r="B13" s="8" t="inlineStr">
        <is>
          <t>per family attending</t>
        </is>
      </c>
      <c r="C13" s="9">
        <f>Inputs!$B$6</f>
        <v/>
      </c>
      <c r="D13" s="8" t="inlineStr">
        <is>
          <t>family</t>
        </is>
      </c>
      <c r="E13" s="10" t="n">
        <v>2.5</v>
      </c>
      <c r="F13" s="11">
        <f>C13*E13</f>
        <v/>
      </c>
      <c r="G13" s="10" t="n">
        <v>0</v>
      </c>
      <c r="H13" s="11">
        <f>C13*G13</f>
        <v/>
      </c>
      <c r="I13" s="10" t="n">
        <v>0</v>
      </c>
      <c r="J13" s="11">
        <f>F13-I13</f>
        <v/>
      </c>
      <c r="K13" s="8" t="inlineStr">
        <is>
          <t>Optional</t>
        </is>
      </c>
    </row>
    <row r="14">
      <c r="A14" s="8" t="inlineStr">
        <is>
          <t>Translation and interpreters</t>
        </is>
      </c>
      <c r="B14" s="8" t="inlineStr">
        <is>
          <t>hours</t>
        </is>
      </c>
      <c r="C14" s="9">
        <f>Inputs!$B$9</f>
        <v/>
      </c>
      <c r="D14" s="8" t="inlineStr">
        <is>
          <t>hour</t>
        </is>
      </c>
      <c r="E14" s="10" t="n">
        <v>60</v>
      </c>
      <c r="F14" s="11">
        <f>C14*E14</f>
        <v/>
      </c>
      <c r="G14" s="10" t="n">
        <v>0</v>
      </c>
      <c r="H14" s="11">
        <f>C14*G14</f>
        <v/>
      </c>
      <c r="I14" s="10" t="n">
        <v>0</v>
      </c>
      <c r="J14" s="11">
        <f>F14-I14</f>
        <v/>
      </c>
      <c r="K14" s="8" t="inlineStr">
        <is>
          <t>Qualified interpreters or bilingual staff. Do not use machine translation alone for safety wording</t>
        </is>
      </c>
    </row>
    <row r="15">
      <c r="A15" s="8" t="inlineStr">
        <is>
          <t>Childcare during family night</t>
        </is>
      </c>
      <c r="B15" s="8" t="inlineStr">
        <is>
          <t>staff hours</t>
        </is>
      </c>
      <c r="C15" s="9">
        <f>Inputs!$B$10</f>
        <v/>
      </c>
      <c r="D15" s="8" t="inlineStr">
        <is>
          <t>hour</t>
        </is>
      </c>
      <c r="E15" s="10" t="n">
        <v>15</v>
      </c>
      <c r="F15" s="11">
        <f>C15*E15</f>
        <v/>
      </c>
      <c r="G15" s="10" t="n">
        <v>0</v>
      </c>
      <c r="H15" s="11">
        <f>C15*G15</f>
        <v/>
      </c>
      <c r="I15" s="10" t="n">
        <v>0</v>
      </c>
      <c r="J15" s="11">
        <f>F15-I15</f>
        <v/>
      </c>
      <c r="K15" s="8" t="inlineStr">
        <is>
          <t>Only if offered; follow your child-supervision policy</t>
        </is>
      </c>
    </row>
    <row r="16">
      <c r="A16" s="8" t="inlineStr">
        <is>
          <t>Posters and signage</t>
        </is>
      </c>
      <c r="B16" s="8" t="inlineStr">
        <is>
          <t>lump sum</t>
        </is>
      </c>
      <c r="C16" s="9">
        <f>1</f>
        <v/>
      </c>
      <c r="D16" s="8" t="inlineStr">
        <is>
          <t>event</t>
        </is>
      </c>
      <c r="E16" s="10" t="n">
        <v>40</v>
      </c>
      <c r="F16" s="11">
        <f>C16*E16</f>
        <v/>
      </c>
      <c r="G16" s="10" t="n">
        <v>10</v>
      </c>
      <c r="H16" s="11">
        <f>C16*G16</f>
        <v/>
      </c>
      <c r="I16" s="10" t="n">
        <v>0</v>
      </c>
      <c r="J16" s="11">
        <f>F16-I16</f>
        <v/>
      </c>
      <c r="K16" s="8" t="inlineStr">
        <is>
          <t>Welcome banner, station signs, Counselor Corner, Tell Someone Wall, accessibility signs</t>
        </is>
      </c>
    </row>
    <row r="17">
      <c r="A17" s="8" t="inlineStr">
        <is>
          <t>First aid, tissues, sanitizer</t>
        </is>
      </c>
      <c r="B17" s="8" t="inlineStr">
        <is>
          <t>lump sum</t>
        </is>
      </c>
      <c r="C17" s="9">
        <f>1</f>
        <v/>
      </c>
      <c r="D17" s="8" t="inlineStr">
        <is>
          <t>event</t>
        </is>
      </c>
      <c r="E17" s="10" t="n">
        <v>20</v>
      </c>
      <c r="F17" s="11">
        <f>C17*E17</f>
        <v/>
      </c>
      <c r="G17" s="10" t="n">
        <v>5</v>
      </c>
      <c r="H17" s="11">
        <f>C17*G17</f>
        <v/>
      </c>
      <c r="I17" s="10" t="n">
        <v>0</v>
      </c>
      <c r="J17" s="11">
        <f>F17-I17</f>
        <v/>
      </c>
      <c r="K17" s="8" t="inlineStr">
        <is>
          <t>Use the school's existing kit where possible</t>
        </is>
      </c>
    </row>
    <row r="18">
      <c r="A18" s="8" t="inlineStr">
        <is>
          <t>Thank-you items for volunteers and staff</t>
        </is>
      </c>
      <c r="B18" s="8" t="inlineStr">
        <is>
          <t>per volunteer</t>
        </is>
      </c>
      <c r="C18" s="9">
        <f>Inputs!$B$7</f>
        <v/>
      </c>
      <c r="D18" s="8" t="inlineStr">
        <is>
          <t>volunteer</t>
        </is>
      </c>
      <c r="E18" s="10" t="n">
        <v>3</v>
      </c>
      <c r="F18" s="11">
        <f>C18*E18</f>
        <v/>
      </c>
      <c r="G18" s="10" t="n">
        <v>1</v>
      </c>
      <c r="H18" s="11">
        <f>C18*G18</f>
        <v/>
      </c>
      <c r="I18" s="10" t="n">
        <v>0</v>
      </c>
      <c r="J18" s="11">
        <f>F18-I18</f>
        <v/>
      </c>
      <c r="K18" s="8" t="inlineStr">
        <is>
          <t>A card and a small item. Check your gift policy</t>
        </is>
      </c>
    </row>
    <row r="20">
      <c r="A20" s="12" t="inlineStr">
        <is>
          <t>Subtotal</t>
        </is>
      </c>
      <c r="B20" s="12" t="n"/>
      <c r="C20" s="12" t="n"/>
      <c r="D20" s="12" t="n"/>
      <c r="E20" s="13" t="n"/>
      <c r="F20" s="13">
        <f>SUM(F6:F18)</f>
        <v/>
      </c>
      <c r="G20" s="13" t="n"/>
      <c r="H20" s="13">
        <f>SUM(H6:H18)</f>
        <v/>
      </c>
      <c r="I20" s="13">
        <f>SUM(I6:I18)</f>
        <v/>
      </c>
      <c r="J20" s="13">
        <f>SUM(J6:J18)</f>
        <v/>
      </c>
    </row>
    <row r="21">
      <c r="A21" s="12" t="inlineStr">
        <is>
          <t>Contingency</t>
        </is>
      </c>
      <c r="B21" s="12" t="n"/>
      <c r="C21" s="12" t="n"/>
      <c r="D21" s="12" t="n"/>
      <c r="E21" s="13" t="n"/>
      <c r="F21" s="13">
        <f>F20*Inputs!$B$11</f>
        <v/>
      </c>
      <c r="G21" s="13" t="n"/>
      <c r="H21" s="13">
        <f>H20*Inputs!$B$11</f>
        <v/>
      </c>
      <c r="I21" s="13" t="n"/>
      <c r="J21" s="13">
        <f>J20*Inputs!$B$11</f>
        <v/>
      </c>
    </row>
    <row r="22">
      <c r="A22" s="12" t="inlineStr">
        <is>
          <t>TOTAL</t>
        </is>
      </c>
      <c r="B22" s="12" t="n"/>
      <c r="C22" s="12" t="n"/>
      <c r="D22" s="12" t="n"/>
      <c r="E22" s="13" t="n"/>
      <c r="F22" s="13">
        <f>F20+F21</f>
        <v/>
      </c>
      <c r="G22" s="13" t="n"/>
      <c r="H22" s="13">
        <f>H20+H21</f>
        <v/>
      </c>
      <c r="I22" s="13" t="n"/>
      <c r="J22" s="13">
        <f>J20+J21</f>
        <v/>
      </c>
    </row>
    <row r="23">
      <c r="A23" s="12" t="inlineStr">
        <is>
          <t>Cost per student attending</t>
        </is>
      </c>
      <c r="B23" s="12" t="n"/>
      <c r="C23" s="12" t="n"/>
      <c r="D23" s="12" t="n"/>
      <c r="E23" s="13" t="n"/>
      <c r="F23" s="13">
        <f>IF(Inputs!$B$5=0,"",F22/Inputs!$B$5)</f>
        <v/>
      </c>
      <c r="G23" s="13" t="n"/>
      <c r="H23" s="13">
        <f>IF(Inputs!$B$5=0,"",H22/Inputs!$B$5)</f>
        <v/>
      </c>
      <c r="I23" s="13" t="n"/>
      <c r="J23" s="13">
        <f>IF(Inputs!$B$5=0,"",J22/Inputs!$B$5)</f>
        <v/>
      </c>
    </row>
    <row r="26">
      <c r="A26" s="14" t="inlineStr">
        <is>
          <t xml:space="preserve">Funding source (type it): </t>
        </is>
      </c>
      <c r="B26" s="15" t="n"/>
    </row>
    <row r="27">
      <c r="A27" s="14" t="inlineStr">
        <is>
          <t xml:space="preserve">Approved by and date (type it): </t>
        </is>
      </c>
      <c r="B27" s="1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3:I3"/>
    <mergeCell ref="A2:I2"/>
  </mergeCells>
  <conditionalFormatting sqref="J6:J18">
    <cfRule type="cellIs" priority="1" operator="lessThan" dxfId="0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&amp;CHackles Day in a Box. Placeholder costs.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Competence Collective (generated with openpyxl)</dc:creator>
  <dc:title xmlns:dc="http://purl.org/dc/elements/1.1/">Hackles Day in a Box budget</dc:title>
  <dcterms:created xmlns:dcterms="http://purl.org/dc/terms/" xmlns:xsi="http://www.w3.org/2001/XMLSchema-instance" xsi:type="dcterms:W3CDTF">2026-10-05T15:42:48Z</dcterms:created>
  <dcterms:modified xmlns:dcterms="http://purl.org/dc/terms/" xmlns:xsi="http://www.w3.org/2001/XMLSchema-instance" xsi:type="dcterms:W3CDTF">2026-10-05T15:42:48Z</dcterms:modified>
</cp:coreProperties>
</file>